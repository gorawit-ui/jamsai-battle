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worksheets/sheet9.xml" ContentType="application/vnd.openxmlformats-officedocument.spreadsheetml.worksheet+xml"/>
  <Override PartName="/xl/comments/comment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วิธีใช้" sheetId="1" state="visible" r:id="rId1"/>
    <sheet xmlns:r="http://schemas.openxmlformats.org/officeDocument/2006/relationships" name="รายบุคคล" sheetId="2" state="visible" r:id="rId2"/>
    <sheet xmlns:r="http://schemas.openxmlformats.org/officeDocument/2006/relationships" name="ภาพรวม" sheetId="3" state="visible" r:id="rId3"/>
    <sheet xmlns:r="http://schemas.openxmlformats.org/officeDocument/2006/relationships" name="รายข้อ" sheetId="4" state="visible" r:id="rId4"/>
    <sheet xmlns:r="http://schemas.openxmlformats.org/officeDocument/2006/relationships" name="Answers" sheetId="5" state="visible" r:id="rId5"/>
    <sheet xmlns:r="http://schemas.openxmlformats.org/officeDocument/2006/relationships" name="Daily" sheetId="6" state="visible" r:id="rId6"/>
    <sheet xmlns:r="http://schemas.openxmlformats.org/officeDocument/2006/relationships" name="People" sheetId="7" state="visible" r:id="rId7"/>
    <sheet xmlns:r="http://schemas.openxmlformats.org/officeDocument/2006/relationships" name="Survey" sheetId="8" state="visible" r:id="rId8"/>
    <sheet xmlns:r="http://schemas.openxmlformats.org/officeDocument/2006/relationships" name="ตั้งค่า" sheetId="9" state="visible" r:id="rId9"/>
  </sheets>
  <definedNames>
    <definedName name="_xlnm._FilterDatabase" localSheetId="4" hidden="1">'Answers'!$A$1:$R$116</definedName>
    <definedName name="_xlnm._FilterDatabase" localSheetId="5" hidden="1">'Daily'!$A$1:$Q$24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"/>
    <numFmt numFmtId="166" formatCode="yyyy-mm-dd hh:mm"/>
    <numFmt numFmtId="167" formatCode="0.0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sz val="11"/>
    </font>
    <font>
      <name val="Arial"/>
      <b val="1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FFDD3C"/>
      </patternFill>
    </fill>
    <fill>
      <patternFill patternType="solid">
        <fgColor rgb="00BFE3FF"/>
      </patternFill>
    </fill>
    <fill>
      <patternFill patternType="solid">
        <fgColor rgb="00FFF4C7"/>
      </patternFill>
    </fill>
  </fills>
  <borders count="2">
    <border>
      <left/>
      <right/>
      <top/>
      <bottom/>
      <diagonal/>
    </border>
    <border>
      <bottom style="thin">
        <color rgb="00CFD3D8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4" fillId="3" borderId="0" pivotButton="0" quotePrefix="0" xfId="0"/>
    <xf numFmtId="0" fontId="4" fillId="0" borderId="0" pivotButton="0" quotePrefix="0" xfId="0"/>
    <xf numFmtId="0" fontId="4" fillId="2" borderId="0" pivotButton="0" quotePrefix="0" xfId="0"/>
    <xf numFmtId="1" fontId="5" fillId="0" borderId="0" pivotButton="0" quotePrefix="0" xfId="0"/>
    <xf numFmtId="9" fontId="5" fillId="0" borderId="0" pivotButton="0" quotePrefix="0" xfId="0"/>
    <xf numFmtId="167" fontId="5" fillId="0" borderId="0" pivotButton="0" quotePrefix="0" xfId="0"/>
    <xf numFmtId="165" fontId="5" fillId="0" borderId="0" pivotButton="0" quotePrefix="0" xfId="0"/>
    <xf numFmtId="0" fontId="4" fillId="2" borderId="1" applyAlignment="1" pivotButton="0" quotePrefix="0" xfId="0">
      <alignment vertical="center" wrapText="1"/>
    </xf>
    <xf numFmtId="166" fontId="5" fillId="4" borderId="0" pivotButton="0" quotePrefix="0" xfId="0"/>
    <xf numFmtId="165" fontId="5" fillId="4" borderId="0" pivotButton="0" quotePrefix="0" xfId="0"/>
    <xf numFmtId="0" fontId="5" fillId="4" borderId="0" pivotButton="0" quotePrefix="0" xfId="0"/>
    <xf numFmtId="0" fontId="5" fillId="3" borderId="0" pivotButton="0" quotePrefix="0" xfId="0"/>
    <xf numFmtId="9" fontId="5" fillId="3" borderId="0" pivotButton="0" quotePrefix="0" xfId="0"/>
    <xf numFmtId="1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Claude</author>
  </authors>
  <commentList>
    <comment ref="A1" authorId="0" shapeId="0">
      <text>
        <t>Source: ระบบเว็บแจ่มใส Battle (Firestore sessions/*/answers) ส่งออกทุกคืน · ตอนนี้เป็นข้อมูลตัวอย่าง</t>
      </text>
    </comment>
  </commentList>
</comments>
</file>

<file path=xl/comments/comment2.xml><?xml version="1.0" encoding="utf-8"?>
<comments xmlns="http://schemas.openxmlformats.org/spreadsheetml/2006/main">
  <authors>
    <author>Claude</author>
  </authors>
  <commentList>
    <comment ref="A1" authorId="0" shapeId="0">
      <text>
        <t>Source: ระบบเว็บแจ่มใส Battle (Firestore sessions) ส่งออกทุกคืน · ตอนนี้เป็นข้อมูลตัวอย่าง</t>
      </text>
    </comment>
  </commentList>
</comments>
</file>

<file path=xl/comments/comment3.xml><?xml version="1.0" encoding="utf-8"?>
<comments xmlns="http://schemas.openxmlformats.org/spreadsheetml/2006/main">
  <authors>
    <author>Claude</author>
  </authors>
  <commentList>
    <comment ref="A1" authorId="0" shapeId="0">
      <text>
        <t>Source: คอลัมน์ A–C ระบบส่งออกจาก Firestore users · คอลัมน์ D เป็นต้นไปเป็นสูตร</t>
      </text>
    </comment>
  </commentList>
</comments>
</file>

<file path=xl/comments/comment4.xml><?xml version="1.0" encoding="utf-8"?>
<comments xmlns="http://schemas.openxmlformats.org/spreadsheetml/2006/main">
  <authors>
    <author>Claude</author>
  </authors>
  <commentList>
    <comment ref="E1" authorId="0" shapeId="0">
      <text>
        <t>รอ HR ร่างคำถาม แล้วเปลี่ยนชื่อหัวคอลัมน์ตามคำถามจริง</t>
      </text>
    </comment>
  </commentList>
</comments>
</file>

<file path=xl/comments/comment5.xml><?xml version="1.0" encoding="utf-8"?>
<comments xmlns="http://schemas.openxmlformats.org/spreadsheetml/2006/main">
  <authors>
    <author>Claude</author>
  </authors>
  <commentList>
    <comment ref="A1" authorId="0" shapeId="0">
      <text>
        <t>Source: PROJECT_BRIEF.md ข้อ 5.3</t>
      </text>
    </comment>
    <comment ref="D2" authorId="0" shapeId="0">
      <text>
        <t>Source: PROJECT_BRIEF.md ข้อ 12 (ข้อที่ผิดเกิน 50%)</t>
      </text>
    </comment>
    <comment ref="D4" authorId="0" shapeId="0">
      <text>
        <t>Source: PROJECT_BRIEF.md ข้อ 5.6 All-In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แจ่มใส Battle — ผลการตอบรายบุคคล (ร่าง)</t>
        </is>
      </c>
    </row>
    <row r="2">
      <c r="A2" s="2" t="inlineStr"/>
    </row>
    <row r="3">
      <c r="A3" s="3" t="inlineStr">
        <is>
          <t>ที่มาของข้อมูล</t>
        </is>
      </c>
    </row>
    <row r="4">
      <c r="A4" s="2" t="inlineStr">
        <is>
          <t>ระบบเว็บส่งข้อมูลเข้าแท็บ Answers, Daily และ People (คอลัมน์ A–C) ทุกคืนผ่าน Cloud Scheduler · ห้ามแก้ข้อมูลในแท็บเหล่านี้ด้วยมือ</t>
        </is>
      </c>
    </row>
    <row r="5">
      <c r="A5" s="2" t="inlineStr">
        <is>
          <t>แท็บอื่นคำนวณด้วยสูตรจากแท็บข้างบนทั้งหมด</t>
        </is>
      </c>
    </row>
    <row r="6">
      <c r="A6" s="2" t="inlineStr">
        <is>
          <t>แถวพื้นเหลืองอ่อนเป็นข้อมูลตัวอย่าง (ชื่อสมมุติ) ระบบจะล้างออกก่อนส่งข้อมูลจริงครั้งแรก</t>
        </is>
      </c>
    </row>
    <row r="7">
      <c r="A7" s="2" t="inlineStr"/>
    </row>
    <row r="8">
      <c r="A8" s="3" t="inlineStr">
        <is>
          <t>แท็บ</t>
        </is>
      </c>
    </row>
    <row r="9">
      <c r="A9" s="2" t="inlineStr">
        <is>
          <t>รายบุคคล — เลือกชื่อในช่องสีฟ้า แล้วดูคะแนน แรงค์ ผลรายบท รายระดับ ประวัติรายวัน และข้อที่ยังไม่ผ่าน</t>
        </is>
      </c>
    </row>
    <row r="10">
      <c r="A10" s="2" t="inlineStr">
        <is>
          <t>People — สรุปทุกคน 1 แถวต่อคน (คะแนน แรงค์ วันที่เล่น % ถูก ผิด→ถูก ผิดซ้ำ ถูก→ผิด)</t>
        </is>
      </c>
    </row>
    <row r="11">
      <c r="A11" s="2" t="inlineStr">
        <is>
          <t>ภาพรวม — คะแนนทีม % คนเล่น ผลรายบท</t>
        </is>
      </c>
    </row>
    <row r="12">
      <c r="A12" s="2" t="inlineStr">
        <is>
          <t>รายข้อ — % ตอบผิดของแต่ละคำถาม ติดธงข้อที่ผิดเกินเกณฑ์</t>
        </is>
      </c>
    </row>
    <row r="13">
      <c r="A13" s="2" t="inlineStr">
        <is>
          <t>Daily — 1 แถวต่อคนต่อวัน (ควิซ เกม ตัวคูณ โบนัส รวมวัน)</t>
        </is>
      </c>
    </row>
    <row r="14">
      <c r="A14" s="2" t="inlineStr">
        <is>
          <t>Answers — 1 แถวต่อคำตอบ 1 ข้อ</t>
        </is>
      </c>
    </row>
    <row r="15">
      <c r="A15" s="2" t="inlineStr">
        <is>
          <t>Survey — คำตอบแบบสอบถาม 24–25 ธ.ค. (รอ HR ร่างคำถาม)</t>
        </is>
      </c>
    </row>
    <row r="16">
      <c r="A16" s="2" t="inlineStr">
        <is>
          <t>ตั้งค่า — เกณฑ์แรงค์ (brief ข้อ 5.3) เกณฑ์ข้อควรทบทวน และโบนัสทีม</t>
        </is>
      </c>
    </row>
    <row r="17">
      <c r="A17" s="2" t="inlineStr"/>
    </row>
    <row r="18">
      <c r="A18" s="3" t="inlineStr">
        <is>
          <t>ความหมายของรูปแบบคำตอบ (Answers คอลัมน์ R)</t>
        </is>
      </c>
    </row>
    <row r="19">
      <c r="A19" s="2" t="inlineStr">
        <is>
          <t>ครั้งแรก = เจอข้อนี้ครั้งแรก · ผิด→ถูก = ครั้งก่อนผิด ครั้งนี้ถูก · ผิดซ้ำ = ผิดทั้งสองครั้ง · ถูก→ผิด = ครั้งก่อนถูก ครั้งนี้ผิด · ถูกซ้ำ = ถูกทั้งสองครั้ง</t>
        </is>
      </c>
    </row>
    <row r="20">
      <c r="A20" s="2" t="inlineStr"/>
    </row>
    <row r="21">
      <c r="A21" s="3" t="inlineStr">
        <is>
          <t>สีของช่อง</t>
        </is>
      </c>
    </row>
    <row r="22">
      <c r="A22" s="2" t="inlineStr">
        <is>
          <t>ฟ้าอ่อน = ช่องให้เลือกหรือกรอก · เหลือง = หัวตาราง · เหลืองอ่อน = ข้อมูลตัวอย่าง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4" customWidth="1" min="5" max="5"/>
    <col width="14" customWidth="1" min="6" max="6"/>
    <col width="14" customWidth="1" min="7" max="7"/>
    <col width="12" customWidth="1" min="8" max="8"/>
  </cols>
  <sheetData>
    <row r="1">
      <c r="A1" s="1" t="inlineStr">
        <is>
          <t>วิเคราะห์รายบุคคล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</row>
    <row r="3">
      <c r="A3" s="4" t="inlineStr">
        <is>
          <t>เลือกชื่อ</t>
        </is>
      </c>
      <c r="B3" s="5" t="inlineStr">
        <is>
          <t>สมชาย ใจดี</t>
        </is>
      </c>
      <c r="C3" s="4" t="n"/>
      <c r="D3" s="4" t="n"/>
      <c r="E3" s="4" t="n"/>
      <c r="F3" s="4" t="n"/>
      <c r="G3" s="4" t="n"/>
      <c r="H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</row>
    <row r="5">
      <c r="A5" s="4" t="inlineStr">
        <is>
          <t>user_id</t>
        </is>
      </c>
      <c r="B5" s="4">
        <f>INDEX(People!$A$2:$A,MATCH($B$3,People!$B$2:$B,0))</f>
        <v/>
      </c>
      <c r="C5" s="4" t="n"/>
      <c r="D5" s="6" t="inlineStr">
        <is>
          <t>ผลรายบท</t>
        </is>
      </c>
      <c r="E5" s="4" t="n"/>
      <c r="F5" s="4" t="n"/>
      <c r="G5" s="4" t="n"/>
      <c r="H5" s="4" t="n"/>
    </row>
    <row r="6">
      <c r="A6" s="4" t="inlineStr">
        <is>
          <t>ทีม</t>
        </is>
      </c>
      <c r="B6" s="4">
        <f>INDEX(People!$C$2:$C,MATCH($B$3,People!$B$2:$B,0))</f>
        <v/>
      </c>
      <c r="C6" s="4" t="n"/>
      <c r="D6" s="7" t="inlineStr">
        <is>
          <t>เล่ม</t>
        </is>
      </c>
      <c r="E6" s="7" t="inlineStr">
        <is>
          <t>บท</t>
        </is>
      </c>
      <c r="F6" s="7" t="inlineStr">
        <is>
          <t>ตอบ</t>
        </is>
      </c>
      <c r="G6" s="7" t="inlineStr">
        <is>
          <t>ถูก</t>
        </is>
      </c>
      <c r="H6" s="7" t="inlineStr">
        <is>
          <t>% ถูก</t>
        </is>
      </c>
    </row>
    <row r="7">
      <c r="A7" s="4" t="inlineStr">
        <is>
          <t>คะแนนรวม</t>
        </is>
      </c>
      <c r="B7" s="8">
        <f>INDEX(People!$D$2:$D,MATCH($B$3,People!$B$2:$B,0))</f>
        <v/>
      </c>
      <c r="C7" s="4" t="n"/>
      <c r="D7" s="4" t="n">
        <v>1</v>
      </c>
      <c r="E7" s="4" t="n">
        <v>1</v>
      </c>
      <c r="F7" s="4">
        <f>COUNTIFS(Answers!$D$2:$D,$B$5,Answers!$I$2:$I,$D7,Answers!$J$2:$J,$E7)</f>
        <v/>
      </c>
      <c r="G7" s="4">
        <f>COUNTIFS(Answers!$D$2:$D,$B$5,Answers!$I$2:$I,$D7,Answers!$J$2:$J,$E7,Answers!$O$2:$O,TRUE)</f>
        <v/>
      </c>
      <c r="H7" s="9">
        <f>IF($F7=0,"",$G7/$F7)</f>
        <v/>
      </c>
    </row>
    <row r="8">
      <c r="A8" s="4" t="inlineStr">
        <is>
          <t>แรงค์</t>
        </is>
      </c>
      <c r="B8" s="4">
        <f>INDEX(People!$E$2:$E,MATCH($B$3,People!$B$2:$B,0))</f>
        <v/>
      </c>
      <c r="C8" s="4" t="n"/>
      <c r="D8" s="4" t="n">
        <v>1</v>
      </c>
      <c r="E8" s="4" t="n">
        <v>2</v>
      </c>
      <c r="F8" s="4">
        <f>COUNTIFS(Answers!$D$2:$D,$B$5,Answers!$I$2:$I,$D8,Answers!$J$2:$J,$E8)</f>
        <v/>
      </c>
      <c r="G8" s="4">
        <f>COUNTIFS(Answers!$D$2:$D,$B$5,Answers!$I$2:$I,$D8,Answers!$J$2:$J,$E8,Answers!$O$2:$O,TRUE)</f>
        <v/>
      </c>
      <c r="H8" s="9">
        <f>IF($F8=0,"",$G8/$F8)</f>
        <v/>
      </c>
    </row>
    <row r="9">
      <c r="A9" s="4" t="inlineStr">
        <is>
          <t>วันที่เล่น</t>
        </is>
      </c>
      <c r="B9" s="8">
        <f>INDEX(People!$F$2:$F,MATCH($B$3,People!$B$2:$B,0))</f>
        <v/>
      </c>
      <c r="C9" s="4" t="n"/>
      <c r="D9" s="4" t="n">
        <v>1</v>
      </c>
      <c r="E9" s="4" t="n">
        <v>3</v>
      </c>
      <c r="F9" s="4">
        <f>COUNTIFS(Answers!$D$2:$D,$B$5,Answers!$I$2:$I,$D9,Answers!$J$2:$J,$E9)</f>
        <v/>
      </c>
      <c r="G9" s="4">
        <f>COUNTIFS(Answers!$D$2:$D,$B$5,Answers!$I$2:$I,$D9,Answers!$J$2:$J,$E9,Answers!$O$2:$O,TRUE)</f>
        <v/>
      </c>
      <c r="H9" s="9">
        <f>IF($F9=0,"",$G9/$F9)</f>
        <v/>
      </c>
    </row>
    <row r="10">
      <c r="A10" s="4" t="inlineStr">
        <is>
          <t>% ตอบถูก</t>
        </is>
      </c>
      <c r="B10" s="9">
        <f>INDEX(People!$I$2:$I,MATCH($B$3,People!$B$2:$B,0))</f>
        <v/>
      </c>
      <c r="C10" s="4" t="n"/>
      <c r="D10" s="4" t="n">
        <v>1</v>
      </c>
      <c r="E10" s="4" t="n">
        <v>4</v>
      </c>
      <c r="F10" s="4">
        <f>COUNTIFS(Answers!$D$2:$D,$B$5,Answers!$I$2:$I,$D10,Answers!$J$2:$J,$E10)</f>
        <v/>
      </c>
      <c r="G10" s="4">
        <f>COUNTIFS(Answers!$D$2:$D,$B$5,Answers!$I$2:$I,$D10,Answers!$J$2:$J,$E10,Answers!$O$2:$O,TRUE)</f>
        <v/>
      </c>
      <c r="H10" s="9">
        <f>IF($F10=0,"",$G10/$F10)</f>
        <v/>
      </c>
    </row>
    <row r="11">
      <c r="A11" s="4" t="inlineStr">
        <is>
          <t>ถูกเฉลี่ย/วัน</t>
        </is>
      </c>
      <c r="B11" s="10">
        <f>INDEX(People!$J$2:$J,MATCH($B$3,People!$B$2:$B,0))</f>
        <v/>
      </c>
      <c r="C11" s="4" t="n"/>
      <c r="D11" s="4" t="n">
        <v>1</v>
      </c>
      <c r="E11" s="4" t="n">
        <v>5</v>
      </c>
      <c r="F11" s="4">
        <f>COUNTIFS(Answers!$D$2:$D,$B$5,Answers!$I$2:$I,$D11,Answers!$J$2:$J,$E11)</f>
        <v/>
      </c>
      <c r="G11" s="4">
        <f>COUNTIFS(Answers!$D$2:$D,$B$5,Answers!$I$2:$I,$D11,Answers!$J$2:$J,$E11,Answers!$O$2:$O,TRUE)</f>
        <v/>
      </c>
      <c r="H11" s="9">
        <f>IF($F11=0,"",$G11/$F11)</f>
        <v/>
      </c>
    </row>
    <row r="12">
      <c r="A12" s="4" t="inlineStr">
        <is>
          <t>ได้เล่นเกม (วัน)</t>
        </is>
      </c>
      <c r="B12" s="8">
        <f>INDEX(People!$K$2:$K,MATCH($B$3,People!$B$2:$B,0))</f>
        <v/>
      </c>
      <c r="C12" s="4" t="n"/>
      <c r="D12" s="4" t="n">
        <v>2</v>
      </c>
      <c r="E12" s="4" t="n">
        <v>1</v>
      </c>
      <c r="F12" s="4">
        <f>COUNTIFS(Answers!$D$2:$D,$B$5,Answers!$I$2:$I,$D12,Answers!$J$2:$J,$E12)</f>
        <v/>
      </c>
      <c r="G12" s="4">
        <f>COUNTIFS(Answers!$D$2:$D,$B$5,Answers!$I$2:$I,$D12,Answers!$J$2:$J,$E12,Answers!$O$2:$O,TRUE)</f>
        <v/>
      </c>
      <c r="H12" s="9">
        <f>IF($F12=0,"",$G12/$F12)</f>
        <v/>
      </c>
    </row>
    <row r="13">
      <c r="A13" s="4" t="inlineStr">
        <is>
          <t>ผิด→ถูก</t>
        </is>
      </c>
      <c r="B13" s="8">
        <f>INDEX(People!$L$2:$L,MATCH($B$3,People!$B$2:$B,0))</f>
        <v/>
      </c>
      <c r="C13" s="4" t="n"/>
      <c r="D13" s="4" t="n">
        <v>2</v>
      </c>
      <c r="E13" s="4" t="n">
        <v>2</v>
      </c>
      <c r="F13" s="4">
        <f>COUNTIFS(Answers!$D$2:$D,$B$5,Answers!$I$2:$I,$D13,Answers!$J$2:$J,$E13)</f>
        <v/>
      </c>
      <c r="G13" s="4">
        <f>COUNTIFS(Answers!$D$2:$D,$B$5,Answers!$I$2:$I,$D13,Answers!$J$2:$J,$E13,Answers!$O$2:$O,TRUE)</f>
        <v/>
      </c>
      <c r="H13" s="9">
        <f>IF($F13=0,"",$G13/$F13)</f>
        <v/>
      </c>
    </row>
    <row r="14">
      <c r="A14" s="4" t="inlineStr">
        <is>
          <t>ผิดซ้ำ</t>
        </is>
      </c>
      <c r="B14" s="8">
        <f>INDEX(People!$M$2:$M,MATCH($B$3,People!$B$2:$B,0))</f>
        <v/>
      </c>
      <c r="C14" s="4" t="n"/>
      <c r="D14" s="4" t="n">
        <v>2</v>
      </c>
      <c r="E14" s="4" t="n">
        <v>3</v>
      </c>
      <c r="F14" s="4">
        <f>COUNTIFS(Answers!$D$2:$D,$B$5,Answers!$I$2:$I,$D14,Answers!$J$2:$J,$E14)</f>
        <v/>
      </c>
      <c r="G14" s="4">
        <f>COUNTIFS(Answers!$D$2:$D,$B$5,Answers!$I$2:$I,$D14,Answers!$J$2:$J,$E14,Answers!$O$2:$O,TRUE)</f>
        <v/>
      </c>
      <c r="H14" s="9">
        <f>IF($F14=0,"",$G14/$F14)</f>
        <v/>
      </c>
    </row>
    <row r="15">
      <c r="A15" s="4" t="inlineStr">
        <is>
          <t>ถูก→ผิด</t>
        </is>
      </c>
      <c r="B15" s="8">
        <f>INDEX(People!$N$2:$N,MATCH($B$3,People!$B$2:$B,0))</f>
        <v/>
      </c>
      <c r="C15" s="4" t="n"/>
      <c r="D15" s="4" t="n">
        <v>2</v>
      </c>
      <c r="E15" s="4" t="n">
        <v>4</v>
      </c>
      <c r="F15" s="4">
        <f>COUNTIFS(Answers!$D$2:$D,$B$5,Answers!$I$2:$I,$D15,Answers!$J$2:$J,$E15)</f>
        <v/>
      </c>
      <c r="G15" s="4">
        <f>COUNTIFS(Answers!$D$2:$D,$B$5,Answers!$I$2:$I,$D15,Answers!$J$2:$J,$E15,Answers!$O$2:$O,TRUE)</f>
        <v/>
      </c>
      <c r="H15" s="9">
        <f>IF($F15=0,"",$G15/$F15)</f>
        <v/>
      </c>
    </row>
    <row r="16">
      <c r="A16" s="4" t="inlineStr">
        <is>
          <t>เล่นล่าสุด</t>
        </is>
      </c>
      <c r="B16" s="11">
        <f>INDEX(People!$O$2:$O,MATCH($B$3,People!$B$2:$B,0))</f>
        <v/>
      </c>
      <c r="C16" s="4" t="n"/>
      <c r="D16" s="4" t="n">
        <v>2</v>
      </c>
      <c r="E16" s="4" t="n">
        <v>5</v>
      </c>
      <c r="F16" s="4">
        <f>COUNTIFS(Answers!$D$2:$D,$B$5,Answers!$I$2:$I,$D16,Answers!$J$2:$J,$E16)</f>
        <v/>
      </c>
      <c r="G16" s="4">
        <f>COUNTIFS(Answers!$D$2:$D,$B$5,Answers!$I$2:$I,$D16,Answers!$J$2:$J,$E16,Answers!$O$2:$O,TRUE)</f>
        <v/>
      </c>
      <c r="H16" s="9">
        <f>IF($F16=0,"",$G16/$F16)</f>
        <v/>
      </c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</row>
    <row r="19">
      <c r="A19" s="6" t="inlineStr">
        <is>
          <t>ผลรายระดับ</t>
        </is>
      </c>
      <c r="B19" s="4" t="n"/>
      <c r="C19" s="4" t="n"/>
      <c r="D19" s="4" t="n"/>
      <c r="E19" s="4" t="n"/>
      <c r="F19" s="4" t="n"/>
      <c r="G19" s="4" t="n"/>
      <c r="H19" s="4" t="n"/>
    </row>
    <row r="20">
      <c r="A20" s="7" t="inlineStr">
        <is>
          <t>ระดับ</t>
        </is>
      </c>
      <c r="B20" s="7" t="inlineStr">
        <is>
          <t>ตอบ</t>
        </is>
      </c>
      <c r="C20" s="7" t="inlineStr">
        <is>
          <t>ถูก</t>
        </is>
      </c>
      <c r="D20" s="7" t="inlineStr">
        <is>
          <t>% ถูก</t>
        </is>
      </c>
      <c r="E20" s="4" t="n"/>
      <c r="F20" s="4" t="n"/>
      <c r="G20" s="4" t="n"/>
      <c r="H20" s="4" t="n"/>
    </row>
    <row r="21">
      <c r="A21" s="4" t="inlineStr">
        <is>
          <t>ง่าย</t>
        </is>
      </c>
      <c r="B21" s="4">
        <f>COUNTIFS(Answers!$D$2:$D,$B$5,Answers!$K$2:$K,$A21)</f>
        <v/>
      </c>
      <c r="C21" s="4">
        <f>COUNTIFS(Answers!$D$2:$D,$B$5,Answers!$K$2:$K,$A21,Answers!$O$2:$O,TRUE)</f>
        <v/>
      </c>
      <c r="D21" s="9">
        <f>IF($B21=0,"",$C21/$B21)</f>
        <v/>
      </c>
      <c r="E21" s="4" t="n"/>
      <c r="F21" s="4" t="n"/>
      <c r="G21" s="4" t="n"/>
      <c r="H21" s="4" t="n"/>
    </row>
    <row r="22">
      <c r="A22" s="4" t="inlineStr">
        <is>
          <t>กลาง</t>
        </is>
      </c>
      <c r="B22" s="4">
        <f>COUNTIFS(Answers!$D$2:$D,$B$5,Answers!$K$2:$K,$A22)</f>
        <v/>
      </c>
      <c r="C22" s="4">
        <f>COUNTIFS(Answers!$D$2:$D,$B$5,Answers!$K$2:$K,$A22,Answers!$O$2:$O,TRUE)</f>
        <v/>
      </c>
      <c r="D22" s="9">
        <f>IF($B22=0,"",$C22/$B22)</f>
        <v/>
      </c>
      <c r="E22" s="4" t="n"/>
      <c r="F22" s="4" t="n"/>
      <c r="G22" s="4" t="n"/>
      <c r="H22" s="4" t="n"/>
    </row>
    <row r="23">
      <c r="A23" s="4" t="inlineStr">
        <is>
          <t>ยาก</t>
        </is>
      </c>
      <c r="B23" s="4">
        <f>COUNTIFS(Answers!$D$2:$D,$B$5,Answers!$K$2:$K,$A23)</f>
        <v/>
      </c>
      <c r="C23" s="4">
        <f>COUNTIFS(Answers!$D$2:$D,$B$5,Answers!$K$2:$K,$A23,Answers!$O$2:$O,TRUE)</f>
        <v/>
      </c>
      <c r="D23" s="9">
        <f>IF($B23=0,"",$C23/$B23)</f>
        <v/>
      </c>
      <c r="E23" s="4" t="n"/>
      <c r="F23" s="4" t="n"/>
      <c r="G23" s="4" t="n"/>
      <c r="H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</row>
    <row r="26">
      <c r="A26" s="6" t="inlineStr">
        <is>
          <t>ประวัติรายวัน</t>
        </is>
      </c>
      <c r="B26" s="4" t="n"/>
      <c r="C26" s="4" t="n"/>
      <c r="D26" s="4" t="n"/>
      <c r="E26" s="4" t="n"/>
      <c r="F26" s="4" t="n"/>
      <c r="G26" s="6" t="inlineStr">
        <is>
          <t>ข้อที่ตอบไม่ถูก</t>
        </is>
      </c>
      <c r="H26" s="4" t="n"/>
    </row>
    <row r="27">
      <c r="A27" s="7" t="inlineStr">
        <is>
          <t>วันที่</t>
        </is>
      </c>
      <c r="B27" s="7" t="inlineStr">
        <is>
          <t>ควิซถูก</t>
        </is>
      </c>
      <c r="C27" s="7" t="inlineStr">
        <is>
          <t>เกม</t>
        </is>
      </c>
      <c r="D27" s="7" t="inlineStr">
        <is>
          <t>คะแนนเกม</t>
        </is>
      </c>
      <c r="E27" s="7" t="inlineStr">
        <is>
          <t>รวมวัน</t>
        </is>
      </c>
      <c r="F27" s="4" t="n"/>
      <c r="G27" s="7" t="inlineStr">
        <is>
          <t>รหัสคำถาม</t>
        </is>
      </c>
      <c r="H27" s="7" t="inlineStr">
        <is>
          <t>รูปแบบ</t>
        </is>
      </c>
    </row>
    <row r="28">
      <c r="A28" s="11">
        <f>IFERROR(FILTER(Daily!$A$2:$A,Daily!$C$2:$C=$B$5),"")</f>
        <v/>
      </c>
      <c r="B28" s="4">
        <f>IFERROR(FILTER(Daily!$F$2:$F,Daily!$C$2:$C=$B$5),"")</f>
        <v/>
      </c>
      <c r="C28" s="4">
        <f>IFERROR(FILTER(Daily!$H$2:$H,Daily!$C$2:$C=$B$5),"")</f>
        <v/>
      </c>
      <c r="D28" s="4">
        <f>IFERROR(FILTER(Daily!$P$2:$P,Daily!$C$2:$C=$B$5),"")</f>
        <v/>
      </c>
      <c r="E28" s="4">
        <f>IFERROR(FILTER(Daily!$Q$2:$Q,Daily!$C$2:$C=$B$5),"")</f>
        <v/>
      </c>
      <c r="F28" s="4" t="n"/>
      <c r="G28" s="4">
        <f>IFERROR(FILTER(Answers!$H$2:$H,Answers!$D$2:$D=$B$5,Answers!$O$2:$O=FALSE),"")</f>
        <v/>
      </c>
      <c r="H28" s="4">
        <f>IFERROR(FILTER(Answers!$R$2:$R,Answers!$D$2:$D=$B$5,Answers!$O$2:$O=FALSE),"")</f>
        <v/>
      </c>
    </row>
    <row r="29">
      <c r="A29" s="11" t="n"/>
      <c r="B29" s="4" t="n"/>
      <c r="C29" s="4" t="n"/>
      <c r="D29" s="4" t="n"/>
      <c r="E29" s="4" t="n"/>
      <c r="F29" s="4" t="n"/>
      <c r="G29" s="4" t="n"/>
      <c r="H29" s="4" t="n"/>
    </row>
    <row r="30">
      <c r="A30" s="11" t="n"/>
      <c r="B30" s="4" t="n"/>
      <c r="C30" s="4" t="n"/>
      <c r="D30" s="4" t="n"/>
      <c r="E30" s="4" t="n"/>
      <c r="F30" s="4" t="n"/>
      <c r="G30" s="4" t="n"/>
      <c r="H30" s="4" t="n"/>
    </row>
    <row r="31">
      <c r="A31" s="11" t="n"/>
      <c r="B31" s="4" t="n"/>
      <c r="C31" s="4" t="n"/>
      <c r="D31" s="4" t="n"/>
      <c r="E31" s="4" t="n"/>
      <c r="F31" s="4" t="n"/>
      <c r="G31" s="4" t="n"/>
      <c r="H31" s="4" t="n"/>
    </row>
    <row r="32">
      <c r="A32" s="11" t="n"/>
      <c r="B32" s="4" t="n"/>
      <c r="C32" s="4" t="n"/>
      <c r="D32" s="4" t="n"/>
      <c r="E32" s="4" t="n"/>
      <c r="F32" s="4" t="n"/>
      <c r="G32" s="4" t="n"/>
      <c r="H32" s="4" t="n"/>
    </row>
    <row r="33">
      <c r="A33" s="11" t="n"/>
      <c r="B33" s="4" t="n"/>
      <c r="C33" s="4" t="n"/>
      <c r="D33" s="4" t="n"/>
      <c r="E33" s="4" t="n"/>
      <c r="F33" s="4" t="n"/>
      <c r="G33" s="4" t="n"/>
      <c r="H33" s="4" t="n"/>
    </row>
    <row r="34">
      <c r="A34" s="11" t="n"/>
      <c r="B34" s="4" t="n"/>
      <c r="C34" s="4" t="n"/>
      <c r="D34" s="4" t="n"/>
      <c r="E34" s="4" t="n"/>
      <c r="F34" s="4" t="n"/>
      <c r="G34" s="4" t="n"/>
      <c r="H34" s="4" t="n"/>
    </row>
    <row r="35">
      <c r="A35" s="11" t="n"/>
      <c r="B35" s="4" t="n"/>
      <c r="C35" s="4" t="n"/>
      <c r="D35" s="4" t="n"/>
      <c r="E35" s="4" t="n"/>
      <c r="F35" s="4" t="n"/>
      <c r="G35" s="4" t="n"/>
      <c r="H35" s="4" t="n"/>
    </row>
    <row r="36">
      <c r="A36" s="11" t="n"/>
      <c r="B36" s="4" t="n"/>
      <c r="C36" s="4" t="n"/>
      <c r="D36" s="4" t="n"/>
      <c r="E36" s="4" t="n"/>
      <c r="F36" s="4" t="n"/>
      <c r="G36" s="4" t="n"/>
      <c r="H36" s="4" t="n"/>
    </row>
    <row r="37">
      <c r="A37" s="11" t="n"/>
      <c r="B37" s="4" t="n"/>
      <c r="C37" s="4" t="n"/>
      <c r="D37" s="4" t="n"/>
      <c r="E37" s="4" t="n"/>
      <c r="F37" s="4" t="n"/>
      <c r="G37" s="4" t="n"/>
      <c r="H37" s="4" t="n"/>
    </row>
    <row r="38">
      <c r="A38" s="11" t="n"/>
      <c r="B38" s="4" t="n"/>
      <c r="C38" s="4" t="n"/>
      <c r="D38" s="4" t="n"/>
      <c r="E38" s="4" t="n"/>
      <c r="F38" s="4" t="n"/>
      <c r="G38" s="4" t="n"/>
      <c r="H38" s="4" t="n"/>
    </row>
    <row r="39">
      <c r="A39" s="11" t="n"/>
      <c r="B39" s="4" t="n"/>
      <c r="C39" s="4" t="n"/>
      <c r="D39" s="4" t="n"/>
      <c r="E39" s="4" t="n"/>
      <c r="F39" s="4" t="n"/>
      <c r="G39" s="4" t="n"/>
      <c r="H39" s="4" t="n"/>
    </row>
    <row r="40">
      <c r="A40" s="11" t="n"/>
      <c r="B40" s="4" t="n"/>
      <c r="C40" s="4" t="n"/>
      <c r="D40" s="4" t="n"/>
      <c r="E40" s="4" t="n"/>
      <c r="F40" s="4" t="n"/>
      <c r="G40" s="4" t="n"/>
      <c r="H40" s="4" t="n"/>
    </row>
    <row r="41">
      <c r="A41" s="11" t="n"/>
      <c r="B41" s="4" t="n"/>
      <c r="C41" s="4" t="n"/>
      <c r="D41" s="4" t="n"/>
      <c r="E41" s="4" t="n"/>
      <c r="F41" s="4" t="n"/>
      <c r="G41" s="4" t="n"/>
      <c r="H41" s="4" t="n"/>
    </row>
    <row r="42">
      <c r="A42" s="11" t="n"/>
      <c r="B42" s="4" t="n"/>
      <c r="C42" s="4" t="n"/>
      <c r="D42" s="4" t="n"/>
      <c r="E42" s="4" t="n"/>
      <c r="F42" s="4" t="n"/>
      <c r="G42" s="4" t="n"/>
      <c r="H42" s="4" t="n"/>
    </row>
    <row r="43">
      <c r="A43" s="11" t="n"/>
      <c r="B43" s="4" t="n"/>
      <c r="C43" s="4" t="n"/>
      <c r="D43" s="4" t="n"/>
      <c r="E43" s="4" t="n"/>
      <c r="F43" s="4" t="n"/>
      <c r="G43" s="4" t="n"/>
      <c r="H43" s="4" t="n"/>
    </row>
    <row r="44">
      <c r="A44" s="11" t="n"/>
      <c r="B44" s="4" t="n"/>
      <c r="C44" s="4" t="n"/>
      <c r="D44" s="4" t="n"/>
      <c r="E44" s="4" t="n"/>
      <c r="F44" s="4" t="n"/>
      <c r="G44" s="4" t="n"/>
      <c r="H44" s="4" t="n"/>
    </row>
    <row r="45">
      <c r="A45" s="11" t="n"/>
      <c r="B45" s="4" t="n"/>
      <c r="C45" s="4" t="n"/>
      <c r="D45" s="4" t="n"/>
      <c r="E45" s="4" t="n"/>
      <c r="F45" s="4" t="n"/>
      <c r="G45" s="4" t="n"/>
      <c r="H45" s="4" t="n"/>
    </row>
    <row r="46">
      <c r="A46" s="11" t="n"/>
      <c r="B46" s="4" t="n"/>
      <c r="C46" s="4" t="n"/>
      <c r="D46" s="4" t="n"/>
      <c r="E46" s="4" t="n"/>
      <c r="F46" s="4" t="n"/>
      <c r="G46" s="4" t="n"/>
      <c r="H46" s="4" t="n"/>
    </row>
    <row r="47">
      <c r="A47" s="11" t="n"/>
      <c r="B47" s="4" t="n"/>
      <c r="C47" s="4" t="n"/>
      <c r="D47" s="4" t="n"/>
      <c r="E47" s="4" t="n"/>
      <c r="F47" s="4" t="n"/>
      <c r="G47" s="4" t="n"/>
      <c r="H47" s="4" t="n"/>
    </row>
    <row r="48">
      <c r="A48" s="11" t="n"/>
      <c r="B48" s="4" t="n"/>
      <c r="C48" s="4" t="n"/>
      <c r="D48" s="4" t="n"/>
      <c r="E48" s="4" t="n"/>
      <c r="F48" s="4" t="n"/>
      <c r="G48" s="4" t="n"/>
      <c r="H48" s="4" t="n"/>
    </row>
    <row r="49">
      <c r="A49" s="11" t="n"/>
      <c r="B49" s="4" t="n"/>
      <c r="C49" s="4" t="n"/>
      <c r="D49" s="4" t="n"/>
      <c r="E49" s="4" t="n"/>
      <c r="F49" s="4" t="n"/>
      <c r="G49" s="4" t="n"/>
      <c r="H49" s="4" t="n"/>
    </row>
    <row r="50">
      <c r="A50" s="11" t="n"/>
      <c r="B50" s="4" t="n"/>
      <c r="C50" s="4" t="n"/>
      <c r="D50" s="4" t="n"/>
      <c r="E50" s="4" t="n"/>
      <c r="F50" s="4" t="n"/>
      <c r="G50" s="4" t="n"/>
      <c r="H50" s="4" t="n"/>
    </row>
    <row r="51">
      <c r="A51" s="11" t="n"/>
      <c r="B51" s="4" t="n"/>
      <c r="C51" s="4" t="n"/>
      <c r="D51" s="4" t="n"/>
      <c r="E51" s="4" t="n"/>
      <c r="F51" s="4" t="n"/>
      <c r="G51" s="4" t="n"/>
      <c r="H51" s="4" t="n"/>
    </row>
    <row r="52">
      <c r="A52" s="11" t="n"/>
      <c r="B52" s="4" t="n"/>
      <c r="C52" s="4" t="n"/>
      <c r="D52" s="4" t="n"/>
      <c r="E52" s="4" t="n"/>
      <c r="F52" s="4" t="n"/>
      <c r="G52" s="4" t="n"/>
      <c r="H52" s="4" t="n"/>
    </row>
    <row r="53">
      <c r="A53" s="11" t="n"/>
      <c r="B53" s="4" t="n"/>
      <c r="C53" s="4" t="n"/>
      <c r="D53" s="4" t="n"/>
      <c r="E53" s="4" t="n"/>
      <c r="F53" s="4" t="n"/>
      <c r="G53" s="4" t="n"/>
      <c r="H53" s="4" t="n"/>
    </row>
    <row r="54">
      <c r="A54" s="11" t="n"/>
      <c r="B54" s="4" t="n"/>
      <c r="C54" s="4" t="n"/>
      <c r="D54" s="4" t="n"/>
      <c r="E54" s="4" t="n"/>
      <c r="F54" s="4" t="n"/>
      <c r="G54" s="4" t="n"/>
      <c r="H54" s="4" t="n"/>
    </row>
    <row r="55">
      <c r="A55" s="11" t="n"/>
      <c r="B55" s="4" t="n"/>
      <c r="C55" s="4" t="n"/>
      <c r="D55" s="4" t="n"/>
      <c r="E55" s="4" t="n"/>
      <c r="F55" s="4" t="n"/>
      <c r="G55" s="4" t="n"/>
      <c r="H55" s="4" t="n"/>
    </row>
    <row r="56">
      <c r="A56" s="11" t="n"/>
      <c r="B56" s="4" t="n"/>
      <c r="C56" s="4" t="n"/>
      <c r="D56" s="4" t="n"/>
      <c r="E56" s="4" t="n"/>
      <c r="F56" s="4" t="n"/>
      <c r="G56" s="4" t="n"/>
      <c r="H56" s="4" t="n"/>
    </row>
    <row r="57">
      <c r="A57" s="11" t="n"/>
      <c r="B57" s="4" t="n"/>
      <c r="C57" s="4" t="n"/>
      <c r="D57" s="4" t="n"/>
      <c r="E57" s="4" t="n"/>
      <c r="F57" s="4" t="n"/>
      <c r="G57" s="4" t="n"/>
      <c r="H57" s="4" t="n"/>
    </row>
    <row r="58">
      <c r="A58" s="11" t="n"/>
      <c r="B58" s="4" t="n"/>
      <c r="C58" s="4" t="n"/>
      <c r="D58" s="4" t="n"/>
      <c r="E58" s="4" t="n"/>
      <c r="F58" s="4" t="n"/>
      <c r="G58" s="4" t="n"/>
      <c r="H58" s="4" t="n"/>
    </row>
    <row r="59">
      <c r="A59" s="11" t="n"/>
      <c r="B59" s="4" t="n"/>
      <c r="C59" s="4" t="n"/>
      <c r="D59" s="4" t="n"/>
      <c r="E59" s="4" t="n"/>
      <c r="F59" s="4" t="n"/>
      <c r="G59" s="4" t="n"/>
      <c r="H59" s="4" t="n"/>
    </row>
  </sheetData>
  <mergeCells count="1">
    <mergeCell ref="B3:D3"/>
  </mergeCells>
  <dataValidations count="1">
    <dataValidation sqref="B3" showDropDown="0" showInputMessage="0" showErrorMessage="0" allowBlank="0" type="list">
      <formula1>=People!$B$2:$B$500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4" customWidth="1" min="7" max="7"/>
  </cols>
  <sheetData>
    <row r="1">
      <c r="A1" s="1" t="inlineStr">
        <is>
          <t>ภาพรวมทีม</t>
        </is>
      </c>
    </row>
    <row r="2">
      <c r="A2" s="4" t="n"/>
      <c r="B2" s="4" t="n"/>
      <c r="C2" s="4" t="n"/>
      <c r="D2" s="4" t="n"/>
      <c r="E2" s="4" t="n"/>
      <c r="F2" s="4" t="n"/>
    </row>
    <row r="3">
      <c r="A3" s="7" t="inlineStr">
        <is>
          <t>ทีม</t>
        </is>
      </c>
      <c r="B3" s="7" t="inlineStr">
        <is>
          <t>สมาชิก</t>
        </is>
      </c>
      <c r="C3" s="7" t="inlineStr">
        <is>
          <t>เคยเล่น</t>
        </is>
      </c>
      <c r="D3" s="7" t="inlineStr">
        <is>
          <t>คะแนนรวมทุกคน</t>
        </is>
      </c>
      <c r="E3" s="7" t="inlineStr">
        <is>
          <t>โบนัสทีม</t>
        </is>
      </c>
      <c r="F3" s="7" t="inlineStr">
        <is>
          <t>คะแนนทีม</t>
        </is>
      </c>
    </row>
    <row r="4">
      <c r="A4" s="4" t="inlineStr">
        <is>
          <t>FAC</t>
        </is>
      </c>
      <c r="B4" s="4">
        <f>COUNTIFS(People!$C$2:$C,$A4)</f>
        <v/>
      </c>
      <c r="C4" s="4">
        <f>COUNTIFS(People!$C$2:$C,$A4,People!$F$2:$F,"&gt;0")</f>
        <v/>
      </c>
      <c r="D4" s="4">
        <f>SUMIFS(People!$D$2:$D,People!$C$2:$C,$A4)</f>
        <v/>
      </c>
      <c r="E4" s="4">
        <f>'ตั้งค่า'!E5</f>
        <v/>
      </c>
      <c r="F4" s="10">
        <f>IF($B4=0,$E4,$D4/$B4+$E4)</f>
        <v/>
      </c>
    </row>
    <row r="5">
      <c r="A5" s="4" t="inlineStr">
        <is>
          <t>WH</t>
        </is>
      </c>
      <c r="B5" s="4">
        <f>COUNTIFS(People!$C$2:$C,$A5)</f>
        <v/>
      </c>
      <c r="C5" s="4">
        <f>COUNTIFS(People!$C$2:$C,$A5,People!$F$2:$F,"&gt;0")</f>
        <v/>
      </c>
      <c r="D5" s="4">
        <f>SUMIFS(People!$D$2:$D,People!$C$2:$C,$A5)</f>
        <v/>
      </c>
      <c r="E5" s="4">
        <f>'ตั้งค่า'!E6</f>
        <v/>
      </c>
      <c r="F5" s="10">
        <f>IF($B5=0,$E5,$D5/$B5+$E5)</f>
        <v/>
      </c>
    </row>
    <row r="6">
      <c r="A6" s="4" t="inlineStr">
        <is>
          <t>SAMYAN</t>
        </is>
      </c>
      <c r="B6" s="4">
        <f>COUNTIFS(People!$C$2:$C,$A6)</f>
        <v/>
      </c>
      <c r="C6" s="4">
        <f>COUNTIFS(People!$C$2:$C,$A6,People!$F$2:$F,"&gt;0")</f>
        <v/>
      </c>
      <c r="D6" s="4">
        <f>SUMIFS(People!$D$2:$D,People!$C$2:$C,$A6)</f>
        <v/>
      </c>
      <c r="E6" s="4">
        <f>'ตั้งค่า'!E7</f>
        <v/>
      </c>
      <c r="F6" s="10">
        <f>IF($B6=0,$E6,$D6/$B6+$E6)</f>
        <v/>
      </c>
    </row>
    <row r="7">
      <c r="A7" s="4" t="n"/>
      <c r="B7" s="4" t="n"/>
      <c r="C7" s="4" t="n"/>
      <c r="D7" s="4" t="n"/>
      <c r="E7" s="4" t="n"/>
      <c r="F7" s="4" t="n"/>
    </row>
    <row r="8">
      <c r="A8" s="4" t="n"/>
      <c r="B8" s="4" t="n"/>
      <c r="C8" s="4" t="n"/>
      <c r="D8" s="4" t="n"/>
      <c r="E8" s="4" t="n"/>
      <c r="F8" s="4" t="n"/>
    </row>
    <row r="9">
      <c r="A9" s="6" t="inlineStr">
        <is>
          <t>ผลรายบท (ทุกคน)</t>
        </is>
      </c>
      <c r="B9" s="4" t="n"/>
      <c r="C9" s="4" t="n"/>
      <c r="D9" s="4" t="n"/>
      <c r="E9" s="4" t="n"/>
      <c r="F9" s="4" t="n"/>
    </row>
    <row r="10">
      <c r="A10" s="7" t="inlineStr">
        <is>
          <t>เล่ม</t>
        </is>
      </c>
      <c r="B10" s="7" t="inlineStr">
        <is>
          <t>บท</t>
        </is>
      </c>
      <c r="C10" s="7" t="inlineStr">
        <is>
          <t>ตอบ</t>
        </is>
      </c>
      <c r="D10" s="7" t="inlineStr">
        <is>
          <t>ถูก</t>
        </is>
      </c>
      <c r="E10" s="7" t="inlineStr">
        <is>
          <t>% ถูก</t>
        </is>
      </c>
      <c r="F10" s="4" t="n"/>
    </row>
    <row r="11">
      <c r="A11" s="4" t="n">
        <v>1</v>
      </c>
      <c r="B11" s="4" t="n">
        <v>1</v>
      </c>
      <c r="C11" s="4">
        <f>COUNTIFS(Answers!$I$2:$I,$A11,Answers!$J$2:$J,$B11)</f>
        <v/>
      </c>
      <c r="D11" s="4">
        <f>COUNTIFS(Answers!$I$2:$I,$A11,Answers!$J$2:$J,$B11,Answers!$O$2:$O,TRUE)</f>
        <v/>
      </c>
      <c r="E11" s="9">
        <f>IF($C11=0,"",$D11/$C11)</f>
        <v/>
      </c>
      <c r="F11" s="4" t="n"/>
    </row>
    <row r="12">
      <c r="A12" s="4" t="n">
        <v>1</v>
      </c>
      <c r="B12" s="4" t="n">
        <v>2</v>
      </c>
      <c r="C12" s="4">
        <f>COUNTIFS(Answers!$I$2:$I,$A12,Answers!$J$2:$J,$B12)</f>
        <v/>
      </c>
      <c r="D12" s="4">
        <f>COUNTIFS(Answers!$I$2:$I,$A12,Answers!$J$2:$J,$B12,Answers!$O$2:$O,TRUE)</f>
        <v/>
      </c>
      <c r="E12" s="9">
        <f>IF($C12=0,"",$D12/$C12)</f>
        <v/>
      </c>
      <c r="F12" s="4" t="n"/>
    </row>
    <row r="13">
      <c r="A13" s="4" t="n">
        <v>1</v>
      </c>
      <c r="B13" s="4" t="n">
        <v>3</v>
      </c>
      <c r="C13" s="4">
        <f>COUNTIFS(Answers!$I$2:$I,$A13,Answers!$J$2:$J,$B13)</f>
        <v/>
      </c>
      <c r="D13" s="4">
        <f>COUNTIFS(Answers!$I$2:$I,$A13,Answers!$J$2:$J,$B13,Answers!$O$2:$O,TRUE)</f>
        <v/>
      </c>
      <c r="E13" s="9">
        <f>IF($C13=0,"",$D13/$C13)</f>
        <v/>
      </c>
      <c r="F13" s="4" t="n"/>
    </row>
    <row r="14">
      <c r="A14" s="4" t="n">
        <v>1</v>
      </c>
      <c r="B14" s="4" t="n">
        <v>4</v>
      </c>
      <c r="C14" s="4">
        <f>COUNTIFS(Answers!$I$2:$I,$A14,Answers!$J$2:$J,$B14)</f>
        <v/>
      </c>
      <c r="D14" s="4">
        <f>COUNTIFS(Answers!$I$2:$I,$A14,Answers!$J$2:$J,$B14,Answers!$O$2:$O,TRUE)</f>
        <v/>
      </c>
      <c r="E14" s="9">
        <f>IF($C14=0,"",$D14/$C14)</f>
        <v/>
      </c>
      <c r="F14" s="4" t="n"/>
    </row>
    <row r="15">
      <c r="A15" s="4" t="n">
        <v>1</v>
      </c>
      <c r="B15" s="4" t="n">
        <v>5</v>
      </c>
      <c r="C15" s="4">
        <f>COUNTIFS(Answers!$I$2:$I,$A15,Answers!$J$2:$J,$B15)</f>
        <v/>
      </c>
      <c r="D15" s="4">
        <f>COUNTIFS(Answers!$I$2:$I,$A15,Answers!$J$2:$J,$B15,Answers!$O$2:$O,TRUE)</f>
        <v/>
      </c>
      <c r="E15" s="9">
        <f>IF($C15=0,"",$D15/$C15)</f>
        <v/>
      </c>
      <c r="F15" s="4" t="n"/>
    </row>
    <row r="16">
      <c r="A16" s="4" t="n">
        <v>2</v>
      </c>
      <c r="B16" s="4" t="n">
        <v>1</v>
      </c>
      <c r="C16" s="4">
        <f>COUNTIFS(Answers!$I$2:$I,$A16,Answers!$J$2:$J,$B16)</f>
        <v/>
      </c>
      <c r="D16" s="4">
        <f>COUNTIFS(Answers!$I$2:$I,$A16,Answers!$J$2:$J,$B16,Answers!$O$2:$O,TRUE)</f>
        <v/>
      </c>
      <c r="E16" s="9">
        <f>IF($C16=0,"",$D16/$C16)</f>
        <v/>
      </c>
      <c r="F16" s="4" t="n"/>
    </row>
    <row r="17">
      <c r="A17" s="4" t="n">
        <v>2</v>
      </c>
      <c r="B17" s="4" t="n">
        <v>2</v>
      </c>
      <c r="C17" s="4">
        <f>COUNTIFS(Answers!$I$2:$I,$A17,Answers!$J$2:$J,$B17)</f>
        <v/>
      </c>
      <c r="D17" s="4">
        <f>COUNTIFS(Answers!$I$2:$I,$A17,Answers!$J$2:$J,$B17,Answers!$O$2:$O,TRUE)</f>
        <v/>
      </c>
      <c r="E17" s="9">
        <f>IF($C17=0,"",$D17/$C17)</f>
        <v/>
      </c>
      <c r="F17" s="4" t="n"/>
    </row>
    <row r="18">
      <c r="A18" s="4" t="n">
        <v>2</v>
      </c>
      <c r="B18" s="4" t="n">
        <v>3</v>
      </c>
      <c r="C18" s="4">
        <f>COUNTIFS(Answers!$I$2:$I,$A18,Answers!$J$2:$J,$B18)</f>
        <v/>
      </c>
      <c r="D18" s="4">
        <f>COUNTIFS(Answers!$I$2:$I,$A18,Answers!$J$2:$J,$B18,Answers!$O$2:$O,TRUE)</f>
        <v/>
      </c>
      <c r="E18" s="9">
        <f>IF($C18=0,"",$D18/$C18)</f>
        <v/>
      </c>
      <c r="F18" s="4" t="n"/>
    </row>
    <row r="19">
      <c r="A19" s="4" t="n">
        <v>2</v>
      </c>
      <c r="B19" s="4" t="n">
        <v>4</v>
      </c>
      <c r="C19" s="4">
        <f>COUNTIFS(Answers!$I$2:$I,$A19,Answers!$J$2:$J,$B19)</f>
        <v/>
      </c>
      <c r="D19" s="4">
        <f>COUNTIFS(Answers!$I$2:$I,$A19,Answers!$J$2:$J,$B19,Answers!$O$2:$O,TRUE)</f>
        <v/>
      </c>
      <c r="E19" s="9">
        <f>IF($C19=0,"",$D19/$C19)</f>
        <v/>
      </c>
      <c r="F19" s="4" t="n"/>
    </row>
    <row r="20">
      <c r="A20" s="4" t="n">
        <v>2</v>
      </c>
      <c r="B20" s="4" t="n">
        <v>5</v>
      </c>
      <c r="C20" s="4">
        <f>COUNTIFS(Answers!$I$2:$I,$A20,Answers!$J$2:$J,$B20)</f>
        <v/>
      </c>
      <c r="D20" s="4">
        <f>COUNTIFS(Answers!$I$2:$I,$A20,Answers!$J$2:$J,$B20,Answers!$O$2:$O,TRUE)</f>
        <v/>
      </c>
      <c r="E20" s="9">
        <f>IF($C20=0,"",$D20/$C20)</f>
        <v/>
      </c>
      <c r="F20" s="4" t="n"/>
    </row>
    <row r="21">
      <c r="A21" s="4" t="n"/>
      <c r="B21" s="4" t="n"/>
      <c r="C21" s="4" t="n"/>
      <c r="D21" s="4" t="n"/>
      <c r="E21" s="4" t="n"/>
      <c r="F21" s="4" t="n"/>
    </row>
    <row r="22">
      <c r="A22" s="6" t="inlineStr">
        <is>
          <t>คนเล่นรายวัน</t>
        </is>
      </c>
      <c r="B22" s="4" t="n"/>
      <c r="C22" s="4" t="n"/>
      <c r="D22" s="4" t="n"/>
      <c r="E22" s="4" t="n"/>
      <c r="F22" s="4" t="n"/>
    </row>
    <row r="23">
      <c r="A23" s="7" t="inlineStr">
        <is>
          <t>วันที่</t>
        </is>
      </c>
      <c r="B23" s="7" t="inlineStr">
        <is>
          <t>FAC</t>
        </is>
      </c>
      <c r="C23" s="7" t="inlineStr">
        <is>
          <t>WH</t>
        </is>
      </c>
      <c r="D23" s="7" t="inlineStr">
        <is>
          <t>SAMYAN</t>
        </is>
      </c>
      <c r="E23" s="4" t="n"/>
      <c r="F23" s="4" t="n"/>
    </row>
    <row r="24">
      <c r="A24" s="11">
        <f>IFERROR(SORT(UNIQUE(Daily!$A$2:$A)),"")</f>
        <v/>
      </c>
      <c r="B24" s="4">
        <f>ARRAYFORMULA(IF(A24:A="","",COUNTIFS(Daily!A2:A,A24:A,Daily!E2:E,B23)))</f>
        <v/>
      </c>
      <c r="C24" s="4">
        <f>ARRAYFORMULA(IF(A24:A="","",COUNTIFS(Daily!A2:A,A24:A,Daily!E2:E,C23)))</f>
        <v/>
      </c>
      <c r="D24" s="4">
        <f>ARRAYFORMULA(IF(A24:A="","",COUNTIFS(Daily!A2:A,A24:A,Daily!E2:E,D23)))</f>
        <v/>
      </c>
      <c r="E24" s="4" t="n"/>
      <c r="F24" s="4" t="n"/>
    </row>
    <row r="25">
      <c r="A25" s="11" t="n"/>
      <c r="B25" s="4" t="n"/>
      <c r="C25" s="4" t="n"/>
      <c r="D25" s="4" t="n"/>
      <c r="E25" s="4" t="n"/>
      <c r="F25" s="4" t="n"/>
    </row>
    <row r="26">
      <c r="A26" s="11" t="n"/>
      <c r="B26" s="4" t="n"/>
      <c r="C26" s="4" t="n"/>
      <c r="D26" s="4" t="n"/>
      <c r="E26" s="4" t="n"/>
      <c r="F26" s="4" t="n"/>
    </row>
    <row r="27">
      <c r="A27" s="11" t="n"/>
      <c r="B27" s="4" t="n"/>
      <c r="C27" s="4" t="n"/>
      <c r="D27" s="4" t="n"/>
      <c r="E27" s="4" t="n"/>
      <c r="F27" s="4" t="n"/>
    </row>
    <row r="28">
      <c r="A28" s="11" t="n"/>
      <c r="B28" s="4" t="n"/>
      <c r="C28" s="4" t="n"/>
      <c r="D28" s="4" t="n"/>
      <c r="E28" s="4" t="n"/>
      <c r="F28" s="4" t="n"/>
    </row>
    <row r="29">
      <c r="A29" s="11" t="n"/>
      <c r="B29" s="4" t="n"/>
      <c r="C29" s="4" t="n"/>
      <c r="D29" s="4" t="n"/>
      <c r="E29" s="4" t="n"/>
      <c r="F29" s="4" t="n"/>
    </row>
    <row r="30">
      <c r="A30" s="11" t="n"/>
      <c r="B30" s="4" t="n"/>
      <c r="C30" s="4" t="n"/>
      <c r="D30" s="4" t="n"/>
      <c r="E30" s="4" t="n"/>
      <c r="F30" s="4" t="n"/>
    </row>
    <row r="31">
      <c r="A31" s="11" t="n"/>
      <c r="B31" s="4" t="n"/>
      <c r="C31" s="4" t="n"/>
      <c r="D31" s="4" t="n"/>
      <c r="E31" s="4" t="n"/>
      <c r="F31" s="4" t="n"/>
    </row>
    <row r="32">
      <c r="A32" s="11" t="n"/>
      <c r="B32" s="4" t="n"/>
      <c r="C32" s="4" t="n"/>
      <c r="D32" s="4" t="n"/>
      <c r="E32" s="4" t="n"/>
      <c r="F32" s="4" t="n"/>
    </row>
    <row r="33">
      <c r="A33" s="11" t="n"/>
      <c r="B33" s="4" t="n"/>
      <c r="C33" s="4" t="n"/>
      <c r="D33" s="4" t="n"/>
      <c r="E33" s="4" t="n"/>
      <c r="F33" s="4" t="n"/>
    </row>
    <row r="34">
      <c r="A34" s="11" t="n"/>
      <c r="B34" s="4" t="n"/>
      <c r="C34" s="4" t="n"/>
      <c r="D34" s="4" t="n"/>
      <c r="E34" s="4" t="n"/>
      <c r="F34" s="4" t="n"/>
    </row>
    <row r="35">
      <c r="A35" s="11" t="n"/>
      <c r="B35" s="4" t="n"/>
      <c r="C35" s="4" t="n"/>
      <c r="D35" s="4" t="n"/>
      <c r="E35" s="4" t="n"/>
      <c r="F35" s="4" t="n"/>
    </row>
    <row r="36">
      <c r="A36" s="11" t="n"/>
      <c r="B36" s="4" t="n"/>
      <c r="C36" s="4" t="n"/>
      <c r="D36" s="4" t="n"/>
      <c r="E36" s="4" t="n"/>
      <c r="F36" s="4" t="n"/>
    </row>
    <row r="37">
      <c r="A37" s="11" t="n"/>
      <c r="B37" s="4" t="n"/>
      <c r="C37" s="4" t="n"/>
      <c r="D37" s="4" t="n"/>
      <c r="E37" s="4" t="n"/>
      <c r="F37" s="4" t="n"/>
    </row>
    <row r="38">
      <c r="A38" s="11" t="n"/>
      <c r="B38" s="4" t="n"/>
      <c r="C38" s="4" t="n"/>
      <c r="D38" s="4" t="n"/>
      <c r="E38" s="4" t="n"/>
      <c r="F38" s="4" t="n"/>
    </row>
    <row r="39">
      <c r="A39" s="11" t="n"/>
      <c r="B39" s="4" t="n"/>
      <c r="C39" s="4" t="n"/>
      <c r="D39" s="4" t="n"/>
      <c r="E39" s="4" t="n"/>
      <c r="F39" s="4" t="n"/>
    </row>
    <row r="40">
      <c r="A40" s="11" t="n"/>
      <c r="B40" s="4" t="n"/>
      <c r="C40" s="4" t="n"/>
      <c r="D40" s="4" t="n"/>
      <c r="E40" s="4" t="n"/>
      <c r="F40" s="4" t="n"/>
    </row>
    <row r="41">
      <c r="A41" s="11" t="n"/>
      <c r="B41" s="4" t="n"/>
      <c r="C41" s="4" t="n"/>
      <c r="D41" s="4" t="n"/>
      <c r="E41" s="4" t="n"/>
      <c r="F41" s="4" t="n"/>
    </row>
    <row r="42">
      <c r="A42" s="11" t="n"/>
      <c r="B42" s="4" t="n"/>
      <c r="C42" s="4" t="n"/>
      <c r="D42" s="4" t="n"/>
      <c r="E42" s="4" t="n"/>
      <c r="F42" s="4" t="n"/>
    </row>
    <row r="43">
      <c r="A43" s="11" t="n"/>
      <c r="B43" s="4" t="n"/>
      <c r="C43" s="4" t="n"/>
      <c r="D43" s="4" t="n"/>
      <c r="E43" s="4" t="n"/>
      <c r="F43" s="4" t="n"/>
    </row>
    <row r="44">
      <c r="A44" s="11" t="n"/>
      <c r="B44" s="4" t="n"/>
      <c r="C44" s="4" t="n"/>
      <c r="D44" s="4" t="n"/>
      <c r="E44" s="4" t="n"/>
      <c r="F44" s="4" t="n"/>
    </row>
    <row r="45">
      <c r="A45" s="11" t="n"/>
      <c r="B45" s="4" t="n"/>
      <c r="C45" s="4" t="n"/>
      <c r="D45" s="4" t="n"/>
      <c r="E45" s="4" t="n"/>
      <c r="F45" s="4" t="n"/>
    </row>
    <row r="46">
      <c r="A46" s="11" t="n"/>
      <c r="B46" s="4" t="n"/>
      <c r="C46" s="4" t="n"/>
      <c r="D46" s="4" t="n"/>
      <c r="E46" s="4" t="n"/>
      <c r="F46" s="4" t="n"/>
    </row>
    <row r="47">
      <c r="A47" s="11" t="n"/>
      <c r="B47" s="4" t="n"/>
      <c r="C47" s="4" t="n"/>
      <c r="D47" s="4" t="n"/>
      <c r="E47" s="4" t="n"/>
      <c r="F47" s="4" t="n"/>
    </row>
    <row r="48">
      <c r="A48" s="11" t="n"/>
      <c r="B48" s="4" t="n"/>
      <c r="C48" s="4" t="n"/>
      <c r="D48" s="4" t="n"/>
      <c r="E48" s="4" t="n"/>
      <c r="F48" s="4" t="n"/>
    </row>
    <row r="49">
      <c r="A49" s="11" t="n"/>
      <c r="B49" s="4" t="n"/>
      <c r="C49" s="4" t="n"/>
      <c r="D49" s="4" t="n"/>
      <c r="E49" s="4" t="n"/>
      <c r="F49" s="4" t="n"/>
    </row>
    <row r="50">
      <c r="A50" s="11" t="n"/>
      <c r="B50" s="4" t="n"/>
      <c r="C50" s="4" t="n"/>
      <c r="D50" s="4" t="n"/>
      <c r="E50" s="4" t="n"/>
      <c r="F50" s="4" t="n"/>
    </row>
    <row r="51">
      <c r="A51" s="11" t="n"/>
      <c r="B51" s="4" t="n"/>
      <c r="C51" s="4" t="n"/>
      <c r="D51" s="4" t="n"/>
      <c r="E51" s="4" t="n"/>
      <c r="F51" s="4" t="n"/>
    </row>
    <row r="52">
      <c r="A52" s="11" t="n"/>
      <c r="B52" s="4" t="n"/>
      <c r="C52" s="4" t="n"/>
      <c r="D52" s="4" t="n"/>
      <c r="E52" s="4" t="n"/>
      <c r="F52" s="4" t="n"/>
    </row>
    <row r="53">
      <c r="A53" s="11" t="n"/>
      <c r="B53" s="4" t="n"/>
      <c r="C53" s="4" t="n"/>
      <c r="D53" s="4" t="n"/>
      <c r="E53" s="4" t="n"/>
      <c r="F53" s="4" t="n"/>
    </row>
    <row r="54">
      <c r="A54" s="11" t="n"/>
      <c r="B54" s="4" t="n"/>
      <c r="C54" s="4" t="n"/>
      <c r="D54" s="4" t="n"/>
      <c r="E54" s="4" t="n"/>
      <c r="F54" s="4" t="n"/>
    </row>
    <row r="55">
      <c r="A55" s="11" t="n"/>
      <c r="B55" s="4" t="n"/>
      <c r="C55" s="4" t="n"/>
      <c r="D55" s="4" t="n"/>
      <c r="E55" s="4" t="n"/>
      <c r="F55" s="4" t="n"/>
    </row>
    <row r="56">
      <c r="A56" s="11" t="n"/>
      <c r="B56" s="4" t="n"/>
      <c r="C56" s="4" t="n"/>
      <c r="D56" s="4" t="n"/>
      <c r="E56" s="4" t="n"/>
      <c r="F56" s="4" t="n"/>
    </row>
    <row r="57">
      <c r="A57" s="11" t="n"/>
      <c r="B57" s="4" t="n"/>
      <c r="C57" s="4" t="n"/>
      <c r="D57" s="4" t="n"/>
      <c r="E57" s="4" t="n"/>
      <c r="F57" s="4" t="n"/>
    </row>
    <row r="58">
      <c r="A58" s="11" t="n"/>
      <c r="B58" s="4" t="n"/>
      <c r="C58" s="4" t="n"/>
      <c r="D58" s="4" t="n"/>
      <c r="E58" s="4" t="n"/>
      <c r="F58" s="4" t="n"/>
    </row>
    <row r="59">
      <c r="A59" s="11" t="n"/>
      <c r="B59" s="4" t="n"/>
      <c r="C59" s="4" t="n"/>
      <c r="D59" s="4" t="n"/>
      <c r="E59" s="4" t="n"/>
      <c r="F59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8" customWidth="1" min="4" max="4"/>
    <col width="8" customWidth="1" min="5" max="5"/>
    <col width="8" customWidth="1" min="6" max="6"/>
    <col width="14" customWidth="1" min="7" max="7"/>
  </cols>
  <sheetData>
    <row r="1">
      <c r="A1" s="7" t="inlineStr">
        <is>
          <t>รหัสคำถาม</t>
        </is>
      </c>
      <c r="B1" s="7" t="inlineStr">
        <is>
          <t>เล่ม</t>
        </is>
      </c>
      <c r="C1" s="7" t="inlineStr">
        <is>
          <t>บท</t>
        </is>
      </c>
      <c r="D1" s="7" t="inlineStr">
        <is>
          <t>ตอบ</t>
        </is>
      </c>
      <c r="E1" s="7" t="inlineStr">
        <is>
          <t>ถูก</t>
        </is>
      </c>
      <c r="F1" s="7" t="inlineStr">
        <is>
          <t>% ผิด</t>
        </is>
      </c>
      <c r="G1" s="7" t="inlineStr">
        <is>
          <t>หมายเหตุ</t>
        </is>
      </c>
    </row>
    <row r="2">
      <c r="A2" s="4">
        <f>IFERROR(SORT(UNIQUE(Answers!$H$2:$H)),"")</f>
        <v/>
      </c>
      <c r="B2" s="4">
        <f>ARRAYFORMULA(IF(A2:A="","",XLOOKUP(A2:A,Answers!H2:H,Answers!I2:I)))</f>
        <v/>
      </c>
      <c r="C2" s="4">
        <f>ARRAYFORMULA(IF(A2:A="","",XLOOKUP(A2:A,Answers!H2:H,Answers!J2:J)))</f>
        <v/>
      </c>
      <c r="D2" s="4">
        <f>ARRAYFORMULA(IF(A2:A="","",COUNTIFS(Answers!H2:H,A2:A)))</f>
        <v/>
      </c>
      <c r="E2" s="4">
        <f>ARRAYFORMULA(IF(A2:A="","",COUNTIFS(Answers!H2:H,A2:A,Answers!O2:O,TRUE)))</f>
        <v/>
      </c>
      <c r="F2" s="9">
        <f>ARRAYFORMULA(IF((A2:A="")+(D2:D=0),"",1-E2:E/D2:D))</f>
        <v/>
      </c>
      <c r="G2" s="4">
        <f>ARRAYFORMULA(IF(F2:F="","",IF((D2:D&gt;='ตั้งค่า'!E3)*(F2:F&gt;'ตั้งค่า'!E2),"ควรทบทวน","")))</f>
        <v/>
      </c>
    </row>
    <row r="3">
      <c r="A3" s="4" t="n"/>
      <c r="B3" s="4" t="n"/>
      <c r="C3" s="4" t="n"/>
      <c r="D3" s="4" t="n"/>
      <c r="E3" s="4" t="n"/>
      <c r="F3" s="9" t="n"/>
      <c r="G3" s="4" t="n"/>
    </row>
    <row r="4">
      <c r="A4" s="4" t="n"/>
      <c r="B4" s="4" t="n"/>
      <c r="C4" s="4" t="n"/>
      <c r="D4" s="4" t="n"/>
      <c r="E4" s="4" t="n"/>
      <c r="F4" s="9" t="n"/>
      <c r="G4" s="4" t="n"/>
    </row>
    <row r="5">
      <c r="A5" s="4" t="n"/>
      <c r="B5" s="4" t="n"/>
      <c r="C5" s="4" t="n"/>
      <c r="D5" s="4" t="n"/>
      <c r="E5" s="4" t="n"/>
      <c r="F5" s="9" t="n"/>
      <c r="G5" s="4" t="n"/>
    </row>
    <row r="6">
      <c r="A6" s="4" t="n"/>
      <c r="B6" s="4" t="n"/>
      <c r="C6" s="4" t="n"/>
      <c r="D6" s="4" t="n"/>
      <c r="E6" s="4" t="n"/>
      <c r="F6" s="9" t="n"/>
      <c r="G6" s="4" t="n"/>
    </row>
    <row r="7">
      <c r="A7" s="4" t="n"/>
      <c r="B7" s="4" t="n"/>
      <c r="C7" s="4" t="n"/>
      <c r="D7" s="4" t="n"/>
      <c r="E7" s="4" t="n"/>
      <c r="F7" s="9" t="n"/>
      <c r="G7" s="4" t="n"/>
    </row>
    <row r="8">
      <c r="A8" s="4" t="n"/>
      <c r="B8" s="4" t="n"/>
      <c r="C8" s="4" t="n"/>
      <c r="D8" s="4" t="n"/>
      <c r="E8" s="4" t="n"/>
      <c r="F8" s="9" t="n"/>
      <c r="G8" s="4" t="n"/>
    </row>
    <row r="9">
      <c r="A9" s="4" t="n"/>
      <c r="B9" s="4" t="n"/>
      <c r="C9" s="4" t="n"/>
      <c r="D9" s="4" t="n"/>
      <c r="E9" s="4" t="n"/>
      <c r="F9" s="9" t="n"/>
      <c r="G9" s="4" t="n"/>
    </row>
    <row r="10">
      <c r="A10" s="4" t="n"/>
      <c r="B10" s="4" t="n"/>
      <c r="C10" s="4" t="n"/>
      <c r="D10" s="4" t="n"/>
      <c r="E10" s="4" t="n"/>
      <c r="F10" s="9" t="n"/>
      <c r="G10" s="4" t="n"/>
    </row>
    <row r="11">
      <c r="A11" s="4" t="n"/>
      <c r="B11" s="4" t="n"/>
      <c r="C11" s="4" t="n"/>
      <c r="D11" s="4" t="n"/>
      <c r="E11" s="4" t="n"/>
      <c r="F11" s="9" t="n"/>
      <c r="G11" s="4" t="n"/>
    </row>
    <row r="12">
      <c r="A12" s="4" t="n"/>
      <c r="B12" s="4" t="n"/>
      <c r="C12" s="4" t="n"/>
      <c r="D12" s="4" t="n"/>
      <c r="E12" s="4" t="n"/>
      <c r="F12" s="9" t="n"/>
      <c r="G12" s="4" t="n"/>
    </row>
    <row r="13">
      <c r="A13" s="4" t="n"/>
      <c r="B13" s="4" t="n"/>
      <c r="C13" s="4" t="n"/>
      <c r="D13" s="4" t="n"/>
      <c r="E13" s="4" t="n"/>
      <c r="F13" s="9" t="n"/>
      <c r="G13" s="4" t="n"/>
    </row>
    <row r="14">
      <c r="A14" s="4" t="n"/>
      <c r="B14" s="4" t="n"/>
      <c r="C14" s="4" t="n"/>
      <c r="D14" s="4" t="n"/>
      <c r="E14" s="4" t="n"/>
      <c r="F14" s="9" t="n"/>
      <c r="G14" s="4" t="n"/>
    </row>
    <row r="15">
      <c r="A15" s="4" t="n"/>
      <c r="B15" s="4" t="n"/>
      <c r="C15" s="4" t="n"/>
      <c r="D15" s="4" t="n"/>
      <c r="E15" s="4" t="n"/>
      <c r="F15" s="9" t="n"/>
      <c r="G15" s="4" t="n"/>
    </row>
    <row r="16">
      <c r="A16" s="4" t="n"/>
      <c r="B16" s="4" t="n"/>
      <c r="C16" s="4" t="n"/>
      <c r="D16" s="4" t="n"/>
      <c r="E16" s="4" t="n"/>
      <c r="F16" s="9" t="n"/>
      <c r="G16" s="4" t="n"/>
    </row>
    <row r="17">
      <c r="A17" s="4" t="n"/>
      <c r="B17" s="4" t="n"/>
      <c r="C17" s="4" t="n"/>
      <c r="D17" s="4" t="n"/>
      <c r="E17" s="4" t="n"/>
      <c r="F17" s="9" t="n"/>
      <c r="G17" s="4" t="n"/>
    </row>
    <row r="18">
      <c r="A18" s="4" t="n"/>
      <c r="B18" s="4" t="n"/>
      <c r="C18" s="4" t="n"/>
      <c r="D18" s="4" t="n"/>
      <c r="E18" s="4" t="n"/>
      <c r="F18" s="9" t="n"/>
      <c r="G18" s="4" t="n"/>
    </row>
    <row r="19">
      <c r="A19" s="4" t="n"/>
      <c r="B19" s="4" t="n"/>
      <c r="C19" s="4" t="n"/>
      <c r="D19" s="4" t="n"/>
      <c r="E19" s="4" t="n"/>
      <c r="F19" s="9" t="n"/>
      <c r="G19" s="4" t="n"/>
    </row>
    <row r="20">
      <c r="A20" s="4" t="n"/>
      <c r="B20" s="4" t="n"/>
      <c r="C20" s="4" t="n"/>
      <c r="D20" s="4" t="n"/>
      <c r="E20" s="4" t="n"/>
      <c r="F20" s="9" t="n"/>
      <c r="G20" s="4" t="n"/>
    </row>
    <row r="21">
      <c r="A21" s="4" t="n"/>
      <c r="B21" s="4" t="n"/>
      <c r="C21" s="4" t="n"/>
      <c r="D21" s="4" t="n"/>
      <c r="E21" s="4" t="n"/>
      <c r="F21" s="9" t="n"/>
      <c r="G21" s="4" t="n"/>
    </row>
    <row r="22">
      <c r="A22" s="4" t="n"/>
      <c r="B22" s="4" t="n"/>
      <c r="C22" s="4" t="n"/>
      <c r="D22" s="4" t="n"/>
      <c r="E22" s="4" t="n"/>
      <c r="F22" s="9" t="n"/>
      <c r="G22" s="4" t="n"/>
    </row>
    <row r="23">
      <c r="A23" s="4" t="n"/>
      <c r="B23" s="4" t="n"/>
      <c r="C23" s="4" t="n"/>
      <c r="D23" s="4" t="n"/>
      <c r="E23" s="4" t="n"/>
      <c r="F23" s="9" t="n"/>
      <c r="G23" s="4" t="n"/>
    </row>
    <row r="24">
      <c r="A24" s="4" t="n"/>
      <c r="B24" s="4" t="n"/>
      <c r="C24" s="4" t="n"/>
      <c r="D24" s="4" t="n"/>
      <c r="E24" s="4" t="n"/>
      <c r="F24" s="9" t="n"/>
      <c r="G24" s="4" t="n"/>
    </row>
    <row r="25">
      <c r="A25" s="4" t="n"/>
      <c r="B25" s="4" t="n"/>
      <c r="C25" s="4" t="n"/>
      <c r="D25" s="4" t="n"/>
      <c r="E25" s="4" t="n"/>
      <c r="F25" s="9" t="n"/>
      <c r="G25" s="4" t="n"/>
    </row>
    <row r="26">
      <c r="A26" s="4" t="n"/>
      <c r="B26" s="4" t="n"/>
      <c r="C26" s="4" t="n"/>
      <c r="D26" s="4" t="n"/>
      <c r="E26" s="4" t="n"/>
      <c r="F26" s="9" t="n"/>
      <c r="G26" s="4" t="n"/>
    </row>
    <row r="27">
      <c r="A27" s="4" t="n"/>
      <c r="B27" s="4" t="n"/>
      <c r="C27" s="4" t="n"/>
      <c r="D27" s="4" t="n"/>
      <c r="E27" s="4" t="n"/>
      <c r="F27" s="9" t="n"/>
      <c r="G27" s="4" t="n"/>
    </row>
    <row r="28">
      <c r="A28" s="4" t="n"/>
      <c r="B28" s="4" t="n"/>
      <c r="C28" s="4" t="n"/>
      <c r="D28" s="4" t="n"/>
      <c r="E28" s="4" t="n"/>
      <c r="F28" s="9" t="n"/>
      <c r="G28" s="4" t="n"/>
    </row>
    <row r="29">
      <c r="A29" s="4" t="n"/>
      <c r="B29" s="4" t="n"/>
      <c r="C29" s="4" t="n"/>
      <c r="D29" s="4" t="n"/>
      <c r="E29" s="4" t="n"/>
      <c r="F29" s="9" t="n"/>
      <c r="G29" s="4" t="n"/>
    </row>
    <row r="30">
      <c r="A30" s="4" t="n"/>
      <c r="B30" s="4" t="n"/>
      <c r="C30" s="4" t="n"/>
      <c r="D30" s="4" t="n"/>
      <c r="E30" s="4" t="n"/>
      <c r="F30" s="9" t="n"/>
      <c r="G30" s="4" t="n"/>
    </row>
    <row r="31">
      <c r="A31" s="4" t="n"/>
      <c r="B31" s="4" t="n"/>
      <c r="C31" s="4" t="n"/>
      <c r="D31" s="4" t="n"/>
      <c r="E31" s="4" t="n"/>
      <c r="F31" s="9" t="n"/>
      <c r="G31" s="4" t="n"/>
    </row>
    <row r="32">
      <c r="A32" s="4" t="n"/>
      <c r="B32" s="4" t="n"/>
      <c r="C32" s="4" t="n"/>
      <c r="D32" s="4" t="n"/>
      <c r="E32" s="4" t="n"/>
      <c r="F32" s="9" t="n"/>
      <c r="G32" s="4" t="n"/>
    </row>
    <row r="33">
      <c r="A33" s="4" t="n"/>
      <c r="B33" s="4" t="n"/>
      <c r="C33" s="4" t="n"/>
      <c r="D33" s="4" t="n"/>
      <c r="E33" s="4" t="n"/>
      <c r="F33" s="9" t="n"/>
      <c r="G33" s="4" t="n"/>
    </row>
    <row r="34">
      <c r="A34" s="4" t="n"/>
      <c r="B34" s="4" t="n"/>
      <c r="C34" s="4" t="n"/>
      <c r="D34" s="4" t="n"/>
      <c r="E34" s="4" t="n"/>
      <c r="F34" s="9" t="n"/>
      <c r="G34" s="4" t="n"/>
    </row>
    <row r="35">
      <c r="A35" s="4" t="n"/>
      <c r="B35" s="4" t="n"/>
      <c r="C35" s="4" t="n"/>
      <c r="D35" s="4" t="n"/>
      <c r="E35" s="4" t="n"/>
      <c r="F35" s="9" t="n"/>
      <c r="G35" s="4" t="n"/>
    </row>
    <row r="36">
      <c r="A36" s="4" t="n"/>
      <c r="B36" s="4" t="n"/>
      <c r="C36" s="4" t="n"/>
      <c r="D36" s="4" t="n"/>
      <c r="E36" s="4" t="n"/>
      <c r="F36" s="9" t="n"/>
      <c r="G36" s="4" t="n"/>
    </row>
    <row r="37">
      <c r="A37" s="4" t="n"/>
      <c r="B37" s="4" t="n"/>
      <c r="C37" s="4" t="n"/>
      <c r="D37" s="4" t="n"/>
      <c r="E37" s="4" t="n"/>
      <c r="F37" s="9" t="n"/>
      <c r="G37" s="4" t="n"/>
    </row>
    <row r="38">
      <c r="A38" s="4" t="n"/>
      <c r="B38" s="4" t="n"/>
      <c r="C38" s="4" t="n"/>
      <c r="D38" s="4" t="n"/>
      <c r="E38" s="4" t="n"/>
      <c r="F38" s="9" t="n"/>
      <c r="G38" s="4" t="n"/>
    </row>
    <row r="39">
      <c r="A39" s="4" t="n"/>
      <c r="B39" s="4" t="n"/>
      <c r="C39" s="4" t="n"/>
      <c r="D39" s="4" t="n"/>
      <c r="E39" s="4" t="n"/>
      <c r="F39" s="9" t="n"/>
      <c r="G39" s="4" t="n"/>
    </row>
    <row r="40">
      <c r="A40" s="4" t="n"/>
      <c r="B40" s="4" t="n"/>
      <c r="C40" s="4" t="n"/>
      <c r="D40" s="4" t="n"/>
      <c r="E40" s="4" t="n"/>
      <c r="F40" s="9" t="n"/>
      <c r="G40" s="4" t="n"/>
    </row>
    <row r="41">
      <c r="A41" s="4" t="n"/>
      <c r="B41" s="4" t="n"/>
      <c r="C41" s="4" t="n"/>
      <c r="D41" s="4" t="n"/>
      <c r="E41" s="4" t="n"/>
      <c r="F41" s="9" t="n"/>
      <c r="G41" s="4" t="n"/>
    </row>
    <row r="42">
      <c r="A42" s="4" t="n"/>
      <c r="B42" s="4" t="n"/>
      <c r="C42" s="4" t="n"/>
      <c r="D42" s="4" t="n"/>
      <c r="E42" s="4" t="n"/>
      <c r="F42" s="9" t="n"/>
      <c r="G42" s="4" t="n"/>
    </row>
    <row r="43">
      <c r="A43" s="4" t="n"/>
      <c r="B43" s="4" t="n"/>
      <c r="C43" s="4" t="n"/>
      <c r="D43" s="4" t="n"/>
      <c r="E43" s="4" t="n"/>
      <c r="F43" s="9" t="n"/>
      <c r="G43" s="4" t="n"/>
    </row>
    <row r="44">
      <c r="A44" s="4" t="n"/>
      <c r="B44" s="4" t="n"/>
      <c r="C44" s="4" t="n"/>
      <c r="D44" s="4" t="n"/>
      <c r="E44" s="4" t="n"/>
      <c r="F44" s="9" t="n"/>
      <c r="G44" s="4" t="n"/>
    </row>
    <row r="45">
      <c r="A45" s="4" t="n"/>
      <c r="B45" s="4" t="n"/>
      <c r="C45" s="4" t="n"/>
      <c r="D45" s="4" t="n"/>
      <c r="E45" s="4" t="n"/>
      <c r="F45" s="9" t="n"/>
      <c r="G45" s="4" t="n"/>
    </row>
    <row r="46">
      <c r="A46" s="4" t="n"/>
      <c r="B46" s="4" t="n"/>
      <c r="C46" s="4" t="n"/>
      <c r="D46" s="4" t="n"/>
      <c r="E46" s="4" t="n"/>
      <c r="F46" s="9" t="n"/>
      <c r="G46" s="4" t="n"/>
    </row>
    <row r="47">
      <c r="A47" s="4" t="n"/>
      <c r="B47" s="4" t="n"/>
      <c r="C47" s="4" t="n"/>
      <c r="D47" s="4" t="n"/>
      <c r="E47" s="4" t="n"/>
      <c r="F47" s="9" t="n"/>
      <c r="G47" s="4" t="n"/>
    </row>
    <row r="48">
      <c r="A48" s="4" t="n"/>
      <c r="B48" s="4" t="n"/>
      <c r="C48" s="4" t="n"/>
      <c r="D48" s="4" t="n"/>
      <c r="E48" s="4" t="n"/>
      <c r="F48" s="9" t="n"/>
      <c r="G48" s="4" t="n"/>
    </row>
    <row r="49">
      <c r="A49" s="4" t="n"/>
      <c r="B49" s="4" t="n"/>
      <c r="C49" s="4" t="n"/>
      <c r="D49" s="4" t="n"/>
      <c r="E49" s="4" t="n"/>
      <c r="F49" s="9" t="n"/>
      <c r="G49" s="4" t="n"/>
    </row>
    <row r="50">
      <c r="A50" s="4" t="n"/>
      <c r="B50" s="4" t="n"/>
      <c r="C50" s="4" t="n"/>
      <c r="D50" s="4" t="n"/>
      <c r="E50" s="4" t="n"/>
      <c r="F50" s="9" t="n"/>
      <c r="G50" s="4" t="n"/>
    </row>
    <row r="51">
      <c r="A51" s="4" t="n"/>
      <c r="B51" s="4" t="n"/>
      <c r="C51" s="4" t="n"/>
      <c r="D51" s="4" t="n"/>
      <c r="E51" s="4" t="n"/>
      <c r="F51" s="9" t="n"/>
      <c r="G51" s="4" t="n"/>
    </row>
    <row r="52">
      <c r="A52" s="4" t="n"/>
      <c r="B52" s="4" t="n"/>
      <c r="C52" s="4" t="n"/>
      <c r="D52" s="4" t="n"/>
      <c r="E52" s="4" t="n"/>
      <c r="F52" s="9" t="n"/>
      <c r="G52" s="4" t="n"/>
    </row>
    <row r="53">
      <c r="A53" s="4" t="n"/>
      <c r="B53" s="4" t="n"/>
      <c r="C53" s="4" t="n"/>
      <c r="D53" s="4" t="n"/>
      <c r="E53" s="4" t="n"/>
      <c r="F53" s="9" t="n"/>
      <c r="G53" s="4" t="n"/>
    </row>
    <row r="54">
      <c r="A54" s="4" t="n"/>
      <c r="B54" s="4" t="n"/>
      <c r="C54" s="4" t="n"/>
      <c r="D54" s="4" t="n"/>
      <c r="E54" s="4" t="n"/>
      <c r="F54" s="9" t="n"/>
      <c r="G54" s="4" t="n"/>
    </row>
    <row r="55">
      <c r="A55" s="4" t="n"/>
      <c r="B55" s="4" t="n"/>
      <c r="C55" s="4" t="n"/>
      <c r="D55" s="4" t="n"/>
      <c r="E55" s="4" t="n"/>
      <c r="F55" s="9" t="n"/>
      <c r="G55" s="4" t="n"/>
    </row>
    <row r="56">
      <c r="A56" s="4" t="n"/>
      <c r="B56" s="4" t="n"/>
      <c r="C56" s="4" t="n"/>
      <c r="D56" s="4" t="n"/>
      <c r="E56" s="4" t="n"/>
      <c r="F56" s="9" t="n"/>
      <c r="G56" s="4" t="n"/>
    </row>
    <row r="57">
      <c r="A57" s="4" t="n"/>
      <c r="B57" s="4" t="n"/>
      <c r="C57" s="4" t="n"/>
      <c r="D57" s="4" t="n"/>
      <c r="E57" s="4" t="n"/>
      <c r="F57" s="9" t="n"/>
      <c r="G57" s="4" t="n"/>
    </row>
    <row r="58">
      <c r="A58" s="4" t="n"/>
      <c r="B58" s="4" t="n"/>
      <c r="C58" s="4" t="n"/>
      <c r="D58" s="4" t="n"/>
      <c r="E58" s="4" t="n"/>
      <c r="F58" s="9" t="n"/>
      <c r="G58" s="4" t="n"/>
    </row>
    <row r="59">
      <c r="A59" s="4" t="n"/>
      <c r="B59" s="4" t="n"/>
      <c r="C59" s="4" t="n"/>
      <c r="D59" s="4" t="n"/>
      <c r="E59" s="4" t="n"/>
      <c r="F59" s="9" t="n"/>
      <c r="G59" s="4" t="n"/>
    </row>
    <row r="60">
      <c r="A60" s="4" t="n"/>
      <c r="B60" s="4" t="n"/>
      <c r="C60" s="4" t="n"/>
      <c r="D60" s="4" t="n"/>
      <c r="E60" s="4" t="n"/>
      <c r="F60" s="9" t="n"/>
      <c r="G60" s="4" t="n"/>
    </row>
    <row r="61">
      <c r="A61" s="4" t="n"/>
      <c r="B61" s="4" t="n"/>
      <c r="C61" s="4" t="n"/>
      <c r="D61" s="4" t="n"/>
      <c r="E61" s="4" t="n"/>
      <c r="F61" s="9" t="n"/>
      <c r="G61" s="4" t="n"/>
    </row>
    <row r="62">
      <c r="A62" s="4" t="n"/>
      <c r="B62" s="4" t="n"/>
      <c r="C62" s="4" t="n"/>
      <c r="D62" s="4" t="n"/>
      <c r="E62" s="4" t="n"/>
      <c r="F62" s="9" t="n"/>
      <c r="G62" s="4" t="n"/>
    </row>
    <row r="63">
      <c r="A63" s="4" t="n"/>
      <c r="B63" s="4" t="n"/>
      <c r="C63" s="4" t="n"/>
      <c r="D63" s="4" t="n"/>
      <c r="E63" s="4" t="n"/>
      <c r="F63" s="9" t="n"/>
      <c r="G63" s="4" t="n"/>
    </row>
    <row r="64">
      <c r="A64" s="4" t="n"/>
      <c r="B64" s="4" t="n"/>
      <c r="C64" s="4" t="n"/>
      <c r="D64" s="4" t="n"/>
      <c r="E64" s="4" t="n"/>
      <c r="F64" s="9" t="n"/>
      <c r="G64" s="4" t="n"/>
    </row>
    <row r="65">
      <c r="A65" s="4" t="n"/>
      <c r="B65" s="4" t="n"/>
      <c r="C65" s="4" t="n"/>
      <c r="D65" s="4" t="n"/>
      <c r="E65" s="4" t="n"/>
      <c r="F65" s="9" t="n"/>
      <c r="G65" s="4" t="n"/>
    </row>
    <row r="66">
      <c r="A66" s="4" t="n"/>
      <c r="B66" s="4" t="n"/>
      <c r="C66" s="4" t="n"/>
      <c r="D66" s="4" t="n"/>
      <c r="E66" s="4" t="n"/>
      <c r="F66" s="9" t="n"/>
      <c r="G66" s="4" t="n"/>
    </row>
    <row r="67">
      <c r="A67" s="4" t="n"/>
      <c r="B67" s="4" t="n"/>
      <c r="C67" s="4" t="n"/>
      <c r="D67" s="4" t="n"/>
      <c r="E67" s="4" t="n"/>
      <c r="F67" s="9" t="n"/>
      <c r="G67" s="4" t="n"/>
    </row>
    <row r="68">
      <c r="A68" s="4" t="n"/>
      <c r="B68" s="4" t="n"/>
      <c r="C68" s="4" t="n"/>
      <c r="D68" s="4" t="n"/>
      <c r="E68" s="4" t="n"/>
      <c r="F68" s="9" t="n"/>
      <c r="G68" s="4" t="n"/>
    </row>
    <row r="69">
      <c r="A69" s="4" t="n"/>
      <c r="B69" s="4" t="n"/>
      <c r="C69" s="4" t="n"/>
      <c r="D69" s="4" t="n"/>
      <c r="E69" s="4" t="n"/>
      <c r="F69" s="9" t="n"/>
      <c r="G69" s="4" t="n"/>
    </row>
    <row r="70">
      <c r="A70" s="4" t="n"/>
      <c r="B70" s="4" t="n"/>
      <c r="C70" s="4" t="n"/>
      <c r="D70" s="4" t="n"/>
      <c r="E70" s="4" t="n"/>
      <c r="F70" s="9" t="n"/>
      <c r="G70" s="4" t="n"/>
    </row>
    <row r="71">
      <c r="A71" s="4" t="n"/>
      <c r="B71" s="4" t="n"/>
      <c r="C71" s="4" t="n"/>
      <c r="D71" s="4" t="n"/>
      <c r="E71" s="4" t="n"/>
      <c r="F71" s="9" t="n"/>
      <c r="G71" s="4" t="n"/>
    </row>
    <row r="72">
      <c r="A72" s="4" t="n"/>
      <c r="B72" s="4" t="n"/>
      <c r="C72" s="4" t="n"/>
      <c r="D72" s="4" t="n"/>
      <c r="E72" s="4" t="n"/>
      <c r="F72" s="9" t="n"/>
      <c r="G72" s="4" t="n"/>
    </row>
    <row r="73">
      <c r="A73" s="4" t="n"/>
      <c r="B73" s="4" t="n"/>
      <c r="C73" s="4" t="n"/>
      <c r="D73" s="4" t="n"/>
      <c r="E73" s="4" t="n"/>
      <c r="F73" s="9" t="n"/>
      <c r="G73" s="4" t="n"/>
    </row>
    <row r="74">
      <c r="A74" s="4" t="n"/>
      <c r="B74" s="4" t="n"/>
      <c r="C74" s="4" t="n"/>
      <c r="D74" s="4" t="n"/>
      <c r="E74" s="4" t="n"/>
      <c r="F74" s="9" t="n"/>
      <c r="G74" s="4" t="n"/>
    </row>
    <row r="75">
      <c r="A75" s="4" t="n"/>
      <c r="B75" s="4" t="n"/>
      <c r="C75" s="4" t="n"/>
      <c r="D75" s="4" t="n"/>
      <c r="E75" s="4" t="n"/>
      <c r="F75" s="9" t="n"/>
      <c r="G75" s="4" t="n"/>
    </row>
    <row r="76">
      <c r="A76" s="4" t="n"/>
      <c r="B76" s="4" t="n"/>
      <c r="C76" s="4" t="n"/>
      <c r="D76" s="4" t="n"/>
      <c r="E76" s="4" t="n"/>
      <c r="F76" s="9" t="n"/>
      <c r="G76" s="4" t="n"/>
    </row>
    <row r="77">
      <c r="A77" s="4" t="n"/>
      <c r="B77" s="4" t="n"/>
      <c r="C77" s="4" t="n"/>
      <c r="D77" s="4" t="n"/>
      <c r="E77" s="4" t="n"/>
      <c r="F77" s="9" t="n"/>
      <c r="G77" s="4" t="n"/>
    </row>
    <row r="78">
      <c r="A78" s="4" t="n"/>
      <c r="B78" s="4" t="n"/>
      <c r="C78" s="4" t="n"/>
      <c r="D78" s="4" t="n"/>
      <c r="E78" s="4" t="n"/>
      <c r="F78" s="9" t="n"/>
      <c r="G78" s="4" t="n"/>
    </row>
    <row r="79">
      <c r="A79" s="4" t="n"/>
      <c r="B79" s="4" t="n"/>
      <c r="C79" s="4" t="n"/>
      <c r="D79" s="4" t="n"/>
      <c r="E79" s="4" t="n"/>
      <c r="F79" s="9" t="n"/>
      <c r="G79" s="4" t="n"/>
    </row>
    <row r="80">
      <c r="A80" s="4" t="n"/>
      <c r="B80" s="4" t="n"/>
      <c r="C80" s="4" t="n"/>
      <c r="D80" s="4" t="n"/>
      <c r="E80" s="4" t="n"/>
      <c r="F80" s="9" t="n"/>
      <c r="G80" s="4" t="n"/>
    </row>
    <row r="81">
      <c r="A81" s="4" t="n"/>
      <c r="B81" s="4" t="n"/>
      <c r="C81" s="4" t="n"/>
      <c r="D81" s="4" t="n"/>
      <c r="E81" s="4" t="n"/>
      <c r="F81" s="9" t="n"/>
      <c r="G81" s="4" t="n"/>
    </row>
    <row r="82">
      <c r="A82" s="4" t="n"/>
      <c r="B82" s="4" t="n"/>
      <c r="C82" s="4" t="n"/>
      <c r="D82" s="4" t="n"/>
      <c r="E82" s="4" t="n"/>
      <c r="F82" s="9" t="n"/>
      <c r="G82" s="4" t="n"/>
    </row>
    <row r="83">
      <c r="A83" s="4" t="n"/>
      <c r="B83" s="4" t="n"/>
      <c r="C83" s="4" t="n"/>
      <c r="D83" s="4" t="n"/>
      <c r="E83" s="4" t="n"/>
      <c r="F83" s="9" t="n"/>
      <c r="G83" s="4" t="n"/>
    </row>
    <row r="84">
      <c r="A84" s="4" t="n"/>
      <c r="B84" s="4" t="n"/>
      <c r="C84" s="4" t="n"/>
      <c r="D84" s="4" t="n"/>
      <c r="E84" s="4" t="n"/>
      <c r="F84" s="9" t="n"/>
      <c r="G84" s="4" t="n"/>
    </row>
    <row r="85">
      <c r="A85" s="4" t="n"/>
      <c r="B85" s="4" t="n"/>
      <c r="C85" s="4" t="n"/>
      <c r="D85" s="4" t="n"/>
      <c r="E85" s="4" t="n"/>
      <c r="F85" s="9" t="n"/>
      <c r="G85" s="4" t="n"/>
    </row>
    <row r="86">
      <c r="A86" s="4" t="n"/>
      <c r="B86" s="4" t="n"/>
      <c r="C86" s="4" t="n"/>
      <c r="D86" s="4" t="n"/>
      <c r="E86" s="4" t="n"/>
      <c r="F86" s="9" t="n"/>
      <c r="G86" s="4" t="n"/>
    </row>
    <row r="87">
      <c r="A87" s="4" t="n"/>
      <c r="B87" s="4" t="n"/>
      <c r="C87" s="4" t="n"/>
      <c r="D87" s="4" t="n"/>
      <c r="E87" s="4" t="n"/>
      <c r="F87" s="9" t="n"/>
      <c r="G87" s="4" t="n"/>
    </row>
    <row r="88">
      <c r="A88" s="4" t="n"/>
      <c r="B88" s="4" t="n"/>
      <c r="C88" s="4" t="n"/>
      <c r="D88" s="4" t="n"/>
      <c r="E88" s="4" t="n"/>
      <c r="F88" s="9" t="n"/>
      <c r="G88" s="4" t="n"/>
    </row>
    <row r="89">
      <c r="A89" s="4" t="n"/>
      <c r="B89" s="4" t="n"/>
      <c r="C89" s="4" t="n"/>
      <c r="D89" s="4" t="n"/>
      <c r="E89" s="4" t="n"/>
      <c r="F89" s="9" t="n"/>
      <c r="G89" s="4" t="n"/>
    </row>
    <row r="90">
      <c r="A90" s="4" t="n"/>
      <c r="B90" s="4" t="n"/>
      <c r="C90" s="4" t="n"/>
      <c r="D90" s="4" t="n"/>
      <c r="E90" s="4" t="n"/>
      <c r="F90" s="9" t="n"/>
      <c r="G90" s="4" t="n"/>
    </row>
    <row r="91">
      <c r="A91" s="4" t="n"/>
      <c r="B91" s="4" t="n"/>
      <c r="C91" s="4" t="n"/>
      <c r="D91" s="4" t="n"/>
      <c r="E91" s="4" t="n"/>
      <c r="F91" s="9" t="n"/>
      <c r="G91" s="4" t="n"/>
    </row>
    <row r="92">
      <c r="A92" s="4" t="n"/>
      <c r="B92" s="4" t="n"/>
      <c r="C92" s="4" t="n"/>
      <c r="D92" s="4" t="n"/>
      <c r="E92" s="4" t="n"/>
      <c r="F92" s="9" t="n"/>
      <c r="G92" s="4" t="n"/>
    </row>
    <row r="93">
      <c r="A93" s="4" t="n"/>
      <c r="B93" s="4" t="n"/>
      <c r="C93" s="4" t="n"/>
      <c r="D93" s="4" t="n"/>
      <c r="E93" s="4" t="n"/>
      <c r="F93" s="9" t="n"/>
      <c r="G93" s="4" t="n"/>
    </row>
    <row r="94">
      <c r="A94" s="4" t="n"/>
      <c r="B94" s="4" t="n"/>
      <c r="C94" s="4" t="n"/>
      <c r="D94" s="4" t="n"/>
      <c r="E94" s="4" t="n"/>
      <c r="F94" s="9" t="n"/>
      <c r="G94" s="4" t="n"/>
    </row>
    <row r="95">
      <c r="A95" s="4" t="n"/>
      <c r="B95" s="4" t="n"/>
      <c r="C95" s="4" t="n"/>
      <c r="D95" s="4" t="n"/>
      <c r="E95" s="4" t="n"/>
      <c r="F95" s="9" t="n"/>
      <c r="G95" s="4" t="n"/>
    </row>
    <row r="96">
      <c r="A96" s="4" t="n"/>
      <c r="B96" s="4" t="n"/>
      <c r="C96" s="4" t="n"/>
      <c r="D96" s="4" t="n"/>
      <c r="E96" s="4" t="n"/>
      <c r="F96" s="9" t="n"/>
      <c r="G96" s="4" t="n"/>
    </row>
    <row r="97">
      <c r="A97" s="4" t="n"/>
      <c r="B97" s="4" t="n"/>
      <c r="C97" s="4" t="n"/>
      <c r="D97" s="4" t="n"/>
      <c r="E97" s="4" t="n"/>
      <c r="F97" s="9" t="n"/>
      <c r="G97" s="4" t="n"/>
    </row>
    <row r="98">
      <c r="A98" s="4" t="n"/>
      <c r="B98" s="4" t="n"/>
      <c r="C98" s="4" t="n"/>
      <c r="D98" s="4" t="n"/>
      <c r="E98" s="4" t="n"/>
      <c r="F98" s="9" t="n"/>
      <c r="G98" s="4" t="n"/>
    </row>
    <row r="99">
      <c r="A99" s="4" t="n"/>
      <c r="B99" s="4" t="n"/>
      <c r="C99" s="4" t="n"/>
      <c r="D99" s="4" t="n"/>
      <c r="E99" s="4" t="n"/>
      <c r="F99" s="9" t="n"/>
      <c r="G99" s="4" t="n"/>
    </row>
    <row r="100">
      <c r="A100" s="4" t="n"/>
      <c r="B100" s="4" t="n"/>
      <c r="C100" s="4" t="n"/>
      <c r="D100" s="4" t="n"/>
      <c r="E100" s="4" t="n"/>
      <c r="F100" s="9" t="n"/>
      <c r="G100" s="4" t="n"/>
    </row>
    <row r="101">
      <c r="A101" s="4" t="n"/>
      <c r="B101" s="4" t="n"/>
      <c r="C101" s="4" t="n"/>
      <c r="D101" s="4" t="n"/>
      <c r="E101" s="4" t="n"/>
      <c r="F101" s="9" t="n"/>
      <c r="G101" s="4" t="n"/>
    </row>
    <row r="102">
      <c r="A102" s="4" t="n"/>
      <c r="B102" s="4" t="n"/>
      <c r="C102" s="4" t="n"/>
      <c r="D102" s="4" t="n"/>
      <c r="E102" s="4" t="n"/>
      <c r="F102" s="9" t="n"/>
      <c r="G102" s="4" t="n"/>
    </row>
    <row r="103">
      <c r="A103" s="4" t="n"/>
      <c r="B103" s="4" t="n"/>
      <c r="C103" s="4" t="n"/>
      <c r="D103" s="4" t="n"/>
      <c r="E103" s="4" t="n"/>
      <c r="F103" s="9" t="n"/>
      <c r="G103" s="4" t="n"/>
    </row>
    <row r="104">
      <c r="A104" s="4" t="n"/>
      <c r="B104" s="4" t="n"/>
      <c r="C104" s="4" t="n"/>
      <c r="D104" s="4" t="n"/>
      <c r="E104" s="4" t="n"/>
      <c r="F104" s="9" t="n"/>
      <c r="G104" s="4" t="n"/>
    </row>
    <row r="105">
      <c r="A105" s="4" t="n"/>
      <c r="B105" s="4" t="n"/>
      <c r="C105" s="4" t="n"/>
      <c r="D105" s="4" t="n"/>
      <c r="E105" s="4" t="n"/>
      <c r="F105" s="9" t="n"/>
      <c r="G105" s="4" t="n"/>
    </row>
    <row r="106">
      <c r="A106" s="4" t="n"/>
      <c r="B106" s="4" t="n"/>
      <c r="C106" s="4" t="n"/>
      <c r="D106" s="4" t="n"/>
      <c r="E106" s="4" t="n"/>
      <c r="F106" s="9" t="n"/>
      <c r="G106" s="4" t="n"/>
    </row>
    <row r="107">
      <c r="A107" s="4" t="n"/>
      <c r="B107" s="4" t="n"/>
      <c r="C107" s="4" t="n"/>
      <c r="D107" s="4" t="n"/>
      <c r="E107" s="4" t="n"/>
      <c r="F107" s="9" t="n"/>
      <c r="G107" s="4" t="n"/>
    </row>
    <row r="108">
      <c r="A108" s="4" t="n"/>
      <c r="B108" s="4" t="n"/>
      <c r="C108" s="4" t="n"/>
      <c r="D108" s="4" t="n"/>
      <c r="E108" s="4" t="n"/>
      <c r="F108" s="9" t="n"/>
      <c r="G108" s="4" t="n"/>
    </row>
    <row r="109">
      <c r="A109" s="4" t="n"/>
      <c r="B109" s="4" t="n"/>
      <c r="C109" s="4" t="n"/>
      <c r="D109" s="4" t="n"/>
      <c r="E109" s="4" t="n"/>
      <c r="F109" s="9" t="n"/>
      <c r="G109" s="4" t="n"/>
    </row>
    <row r="110">
      <c r="A110" s="4" t="n"/>
      <c r="B110" s="4" t="n"/>
      <c r="C110" s="4" t="n"/>
      <c r="D110" s="4" t="n"/>
      <c r="E110" s="4" t="n"/>
      <c r="F110" s="9" t="n"/>
      <c r="G110" s="4" t="n"/>
    </row>
    <row r="111">
      <c r="A111" s="4" t="n"/>
      <c r="B111" s="4" t="n"/>
      <c r="C111" s="4" t="n"/>
      <c r="D111" s="4" t="n"/>
      <c r="E111" s="4" t="n"/>
      <c r="F111" s="9" t="n"/>
      <c r="G111" s="4" t="n"/>
    </row>
    <row r="112">
      <c r="A112" s="4" t="n"/>
      <c r="B112" s="4" t="n"/>
      <c r="C112" s="4" t="n"/>
      <c r="D112" s="4" t="n"/>
      <c r="E112" s="4" t="n"/>
      <c r="F112" s="9" t="n"/>
      <c r="G112" s="4" t="n"/>
    </row>
    <row r="113">
      <c r="A113" s="4" t="n"/>
      <c r="B113" s="4" t="n"/>
      <c r="C113" s="4" t="n"/>
      <c r="D113" s="4" t="n"/>
      <c r="E113" s="4" t="n"/>
      <c r="F113" s="9" t="n"/>
      <c r="G113" s="4" t="n"/>
    </row>
    <row r="114">
      <c r="A114" s="4" t="n"/>
      <c r="B114" s="4" t="n"/>
      <c r="C114" s="4" t="n"/>
      <c r="D114" s="4" t="n"/>
      <c r="E114" s="4" t="n"/>
      <c r="F114" s="9" t="n"/>
      <c r="G114" s="4" t="n"/>
    </row>
    <row r="115">
      <c r="A115" s="4" t="n"/>
      <c r="B115" s="4" t="n"/>
      <c r="C115" s="4" t="n"/>
      <c r="D115" s="4" t="n"/>
      <c r="E115" s="4" t="n"/>
      <c r="F115" s="9" t="n"/>
      <c r="G115" s="4" t="n"/>
    </row>
    <row r="116">
      <c r="A116" s="4" t="n"/>
      <c r="B116" s="4" t="n"/>
      <c r="C116" s="4" t="n"/>
      <c r="D116" s="4" t="n"/>
      <c r="E116" s="4" t="n"/>
      <c r="F116" s="9" t="n"/>
      <c r="G116" s="4" t="n"/>
    </row>
    <row r="117">
      <c r="A117" s="4" t="n"/>
      <c r="B117" s="4" t="n"/>
      <c r="C117" s="4" t="n"/>
      <c r="D117" s="4" t="n"/>
      <c r="E117" s="4" t="n"/>
      <c r="F117" s="9" t="n"/>
      <c r="G117" s="4" t="n"/>
    </row>
    <row r="118">
      <c r="A118" s="4" t="n"/>
      <c r="B118" s="4" t="n"/>
      <c r="C118" s="4" t="n"/>
      <c r="D118" s="4" t="n"/>
      <c r="E118" s="4" t="n"/>
      <c r="F118" s="9" t="n"/>
      <c r="G118" s="4" t="n"/>
    </row>
    <row r="119">
      <c r="A119" s="4" t="n"/>
      <c r="B119" s="4" t="n"/>
      <c r="C119" s="4" t="n"/>
      <c r="D119" s="4" t="n"/>
      <c r="E119" s="4" t="n"/>
      <c r="F119" s="9" t="n"/>
      <c r="G119" s="4" t="n"/>
    </row>
    <row r="120">
      <c r="A120" s="4" t="n"/>
      <c r="B120" s="4" t="n"/>
      <c r="C120" s="4" t="n"/>
      <c r="D120" s="4" t="n"/>
      <c r="E120" s="4" t="n"/>
      <c r="F120" s="9" t="n"/>
      <c r="G120" s="4" t="n"/>
    </row>
    <row r="121">
      <c r="A121" s="4" t="n"/>
      <c r="B121" s="4" t="n"/>
      <c r="C121" s="4" t="n"/>
      <c r="D121" s="4" t="n"/>
      <c r="E121" s="4" t="n"/>
      <c r="F121" s="9" t="n"/>
      <c r="G121" s="4" t="n"/>
    </row>
    <row r="122">
      <c r="A122" s="4" t="n"/>
      <c r="B122" s="4" t="n"/>
      <c r="C122" s="4" t="n"/>
      <c r="D122" s="4" t="n"/>
      <c r="E122" s="4" t="n"/>
      <c r="F122" s="9" t="n"/>
      <c r="G122" s="4" t="n"/>
    </row>
    <row r="123">
      <c r="A123" s="4" t="n"/>
      <c r="B123" s="4" t="n"/>
      <c r="C123" s="4" t="n"/>
      <c r="D123" s="4" t="n"/>
      <c r="E123" s="4" t="n"/>
      <c r="F123" s="9" t="n"/>
      <c r="G123" s="4" t="n"/>
    </row>
    <row r="124">
      <c r="A124" s="4" t="n"/>
      <c r="B124" s="4" t="n"/>
      <c r="C124" s="4" t="n"/>
      <c r="D124" s="4" t="n"/>
      <c r="E124" s="4" t="n"/>
      <c r="F124" s="9" t="n"/>
      <c r="G124" s="4" t="n"/>
    </row>
    <row r="125">
      <c r="A125" s="4" t="n"/>
      <c r="B125" s="4" t="n"/>
      <c r="C125" s="4" t="n"/>
      <c r="D125" s="4" t="n"/>
      <c r="E125" s="4" t="n"/>
      <c r="F125" s="9" t="n"/>
      <c r="G125" s="4" t="n"/>
    </row>
    <row r="126">
      <c r="A126" s="4" t="n"/>
      <c r="B126" s="4" t="n"/>
      <c r="C126" s="4" t="n"/>
      <c r="D126" s="4" t="n"/>
      <c r="E126" s="4" t="n"/>
      <c r="F126" s="9" t="n"/>
      <c r="G126" s="4" t="n"/>
    </row>
    <row r="127">
      <c r="A127" s="4" t="n"/>
      <c r="B127" s="4" t="n"/>
      <c r="C127" s="4" t="n"/>
      <c r="D127" s="4" t="n"/>
      <c r="E127" s="4" t="n"/>
      <c r="F127" s="9" t="n"/>
      <c r="G127" s="4" t="n"/>
    </row>
    <row r="128">
      <c r="A128" s="4" t="n"/>
      <c r="B128" s="4" t="n"/>
      <c r="C128" s="4" t="n"/>
      <c r="D128" s="4" t="n"/>
      <c r="E128" s="4" t="n"/>
      <c r="F128" s="9" t="n"/>
      <c r="G128" s="4" t="n"/>
    </row>
    <row r="129">
      <c r="A129" s="4" t="n"/>
      <c r="B129" s="4" t="n"/>
      <c r="C129" s="4" t="n"/>
      <c r="D129" s="4" t="n"/>
      <c r="E129" s="4" t="n"/>
      <c r="F129" s="9" t="n"/>
      <c r="G129" s="4" t="n"/>
    </row>
    <row r="130">
      <c r="A130" s="4" t="n"/>
      <c r="B130" s="4" t="n"/>
      <c r="C130" s="4" t="n"/>
      <c r="D130" s="4" t="n"/>
      <c r="E130" s="4" t="n"/>
      <c r="F130" s="9" t="n"/>
      <c r="G130" s="4" t="n"/>
    </row>
    <row r="131">
      <c r="A131" s="4" t="n"/>
      <c r="B131" s="4" t="n"/>
      <c r="C131" s="4" t="n"/>
      <c r="D131" s="4" t="n"/>
      <c r="E131" s="4" t="n"/>
      <c r="F131" s="9" t="n"/>
      <c r="G131" s="4" t="n"/>
    </row>
    <row r="132">
      <c r="A132" s="4" t="n"/>
      <c r="B132" s="4" t="n"/>
      <c r="C132" s="4" t="n"/>
      <c r="D132" s="4" t="n"/>
      <c r="E132" s="4" t="n"/>
      <c r="F132" s="9" t="n"/>
      <c r="G132" s="4" t="n"/>
    </row>
    <row r="133">
      <c r="A133" s="4" t="n"/>
      <c r="B133" s="4" t="n"/>
      <c r="C133" s="4" t="n"/>
      <c r="D133" s="4" t="n"/>
      <c r="E133" s="4" t="n"/>
      <c r="F133" s="9" t="n"/>
      <c r="G133" s="4" t="n"/>
    </row>
    <row r="134">
      <c r="A134" s="4" t="n"/>
      <c r="B134" s="4" t="n"/>
      <c r="C134" s="4" t="n"/>
      <c r="D134" s="4" t="n"/>
      <c r="E134" s="4" t="n"/>
      <c r="F134" s="9" t="n"/>
      <c r="G134" s="4" t="n"/>
    </row>
    <row r="135">
      <c r="A135" s="4" t="n"/>
      <c r="B135" s="4" t="n"/>
      <c r="C135" s="4" t="n"/>
      <c r="D135" s="4" t="n"/>
      <c r="E135" s="4" t="n"/>
      <c r="F135" s="9" t="n"/>
      <c r="G135" s="4" t="n"/>
    </row>
    <row r="136">
      <c r="A136" s="4" t="n"/>
      <c r="B136" s="4" t="n"/>
      <c r="C136" s="4" t="n"/>
      <c r="D136" s="4" t="n"/>
      <c r="E136" s="4" t="n"/>
      <c r="F136" s="9" t="n"/>
      <c r="G136" s="4" t="n"/>
    </row>
    <row r="137">
      <c r="A137" s="4" t="n"/>
      <c r="B137" s="4" t="n"/>
      <c r="C137" s="4" t="n"/>
      <c r="D137" s="4" t="n"/>
      <c r="E137" s="4" t="n"/>
      <c r="F137" s="9" t="n"/>
      <c r="G137" s="4" t="n"/>
    </row>
    <row r="138">
      <c r="A138" s="4" t="n"/>
      <c r="B138" s="4" t="n"/>
      <c r="C138" s="4" t="n"/>
      <c r="D138" s="4" t="n"/>
      <c r="E138" s="4" t="n"/>
      <c r="F138" s="9" t="n"/>
      <c r="G138" s="4" t="n"/>
    </row>
    <row r="139">
      <c r="A139" s="4" t="n"/>
      <c r="B139" s="4" t="n"/>
      <c r="C139" s="4" t="n"/>
      <c r="D139" s="4" t="n"/>
      <c r="E139" s="4" t="n"/>
      <c r="F139" s="9" t="n"/>
      <c r="G139" s="4" t="n"/>
    </row>
    <row r="140">
      <c r="A140" s="4" t="n"/>
      <c r="B140" s="4" t="n"/>
      <c r="C140" s="4" t="n"/>
      <c r="D140" s="4" t="n"/>
      <c r="E140" s="4" t="n"/>
      <c r="F140" s="9" t="n"/>
      <c r="G140" s="4" t="n"/>
    </row>
    <row r="141">
      <c r="A141" s="4" t="n"/>
      <c r="B141" s="4" t="n"/>
      <c r="C141" s="4" t="n"/>
      <c r="D141" s="4" t="n"/>
      <c r="E141" s="4" t="n"/>
      <c r="F141" s="9" t="n"/>
      <c r="G141" s="4" t="n"/>
    </row>
    <row r="142">
      <c r="A142" s="4" t="n"/>
      <c r="B142" s="4" t="n"/>
      <c r="C142" s="4" t="n"/>
      <c r="D142" s="4" t="n"/>
      <c r="E142" s="4" t="n"/>
      <c r="F142" s="9" t="n"/>
      <c r="G142" s="4" t="n"/>
    </row>
    <row r="143">
      <c r="A143" s="4" t="n"/>
      <c r="B143" s="4" t="n"/>
      <c r="C143" s="4" t="n"/>
      <c r="D143" s="4" t="n"/>
      <c r="E143" s="4" t="n"/>
      <c r="F143" s="9" t="n"/>
      <c r="G143" s="4" t="n"/>
    </row>
    <row r="144">
      <c r="A144" s="4" t="n"/>
      <c r="B144" s="4" t="n"/>
      <c r="C144" s="4" t="n"/>
      <c r="D144" s="4" t="n"/>
      <c r="E144" s="4" t="n"/>
      <c r="F144" s="9" t="n"/>
      <c r="G144" s="4" t="n"/>
    </row>
    <row r="145">
      <c r="A145" s="4" t="n"/>
      <c r="B145" s="4" t="n"/>
      <c r="C145" s="4" t="n"/>
      <c r="D145" s="4" t="n"/>
      <c r="E145" s="4" t="n"/>
      <c r="F145" s="9" t="n"/>
      <c r="G145" s="4" t="n"/>
    </row>
    <row r="146">
      <c r="A146" s="4" t="n"/>
      <c r="B146" s="4" t="n"/>
      <c r="C146" s="4" t="n"/>
      <c r="D146" s="4" t="n"/>
      <c r="E146" s="4" t="n"/>
      <c r="F146" s="9" t="n"/>
      <c r="G146" s="4" t="n"/>
    </row>
    <row r="147">
      <c r="A147" s="4" t="n"/>
      <c r="B147" s="4" t="n"/>
      <c r="C147" s="4" t="n"/>
      <c r="D147" s="4" t="n"/>
      <c r="E147" s="4" t="n"/>
      <c r="F147" s="9" t="n"/>
      <c r="G147" s="4" t="n"/>
    </row>
    <row r="148">
      <c r="A148" s="4" t="n"/>
      <c r="B148" s="4" t="n"/>
      <c r="C148" s="4" t="n"/>
      <c r="D148" s="4" t="n"/>
      <c r="E148" s="4" t="n"/>
      <c r="F148" s="9" t="n"/>
      <c r="G148" s="4" t="n"/>
    </row>
    <row r="149">
      <c r="A149" s="4" t="n"/>
      <c r="B149" s="4" t="n"/>
      <c r="C149" s="4" t="n"/>
      <c r="D149" s="4" t="n"/>
      <c r="E149" s="4" t="n"/>
      <c r="F149" s="9" t="n"/>
      <c r="G149" s="4" t="n"/>
    </row>
    <row r="150">
      <c r="A150" s="4" t="n"/>
      <c r="B150" s="4" t="n"/>
      <c r="C150" s="4" t="n"/>
      <c r="D150" s="4" t="n"/>
      <c r="E150" s="4" t="n"/>
      <c r="F150" s="9" t="n"/>
      <c r="G150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8" customWidth="1" min="3" max="3"/>
    <col width="12" customWidth="1" min="4" max="4"/>
    <col width="16" customWidth="1" min="5" max="5"/>
    <col width="9" customWidth="1" min="6" max="6"/>
    <col width="7" customWidth="1" min="7" max="7"/>
    <col width="12" customWidth="1" min="8" max="8"/>
    <col width="6" customWidth="1" min="9" max="9"/>
    <col width="6" customWidth="1" min="10" max="10"/>
    <col width="8" customWidth="1" min="11" max="11"/>
    <col width="8" customWidth="1" min="12" max="12"/>
    <col width="6" customWidth="1" min="13" max="13"/>
    <col width="6" customWidth="1" min="14" max="14"/>
    <col width="7" customWidth="1" min="15" max="15"/>
    <col width="9" customWidth="1" min="16" max="16"/>
    <col width="9" customWidth="1" min="17" max="17"/>
    <col width="10" customWidth="1" min="18" max="18"/>
  </cols>
  <sheetData>
    <row r="1">
      <c r="A1" s="12" t="inlineStr">
        <is>
          <t>ตอบเมื่อ</t>
        </is>
      </c>
      <c r="B1" s="12" t="inlineStr">
        <is>
          <t>วันที่</t>
        </is>
      </c>
      <c r="C1" s="12" t="inlineStr">
        <is>
          <t>สัปดาห์</t>
        </is>
      </c>
      <c r="D1" s="12" t="inlineStr">
        <is>
          <t>user_id</t>
        </is>
      </c>
      <c r="E1" s="12" t="inlineStr">
        <is>
          <t>ชื่อ</t>
        </is>
      </c>
      <c r="F1" s="12" t="inlineStr">
        <is>
          <t>ทีม</t>
        </is>
      </c>
      <c r="G1" s="12" t="inlineStr">
        <is>
          <t>ข้อที่</t>
        </is>
      </c>
      <c r="H1" s="12" t="inlineStr">
        <is>
          <t>รหัสคำถาม</t>
        </is>
      </c>
      <c r="I1" s="12" t="inlineStr">
        <is>
          <t>เล่ม</t>
        </is>
      </c>
      <c r="J1" s="12" t="inlineStr">
        <is>
          <t>บท</t>
        </is>
      </c>
      <c r="K1" s="12" t="inlineStr">
        <is>
          <t>ระดับ</t>
        </is>
      </c>
      <c r="L1" s="12" t="inlineStr">
        <is>
          <t>golden</t>
        </is>
      </c>
      <c r="M1" s="12" t="inlineStr">
        <is>
          <t>ตอบ</t>
        </is>
      </c>
      <c r="N1" s="12" t="inlineStr">
        <is>
          <t>เฉลย</t>
        </is>
      </c>
      <c r="O1" s="12" t="inlineStr">
        <is>
          <t>ถูก</t>
        </is>
      </c>
      <c r="P1" s="12" t="inlineStr">
        <is>
          <t>ครั้งที่เจอข้อนี้</t>
        </is>
      </c>
      <c r="Q1" s="12" t="inlineStr">
        <is>
          <t>เวลาที่ใช้ (วิ)</t>
        </is>
      </c>
      <c r="R1" s="12" t="inlineStr">
        <is>
          <t>รูปแบบ</t>
        </is>
      </c>
    </row>
    <row r="2">
      <c r="A2" s="13" t="n">
        <v>46335.56643518519</v>
      </c>
      <c r="B2" s="11" t="n">
        <v>46335</v>
      </c>
      <c r="C2" s="4" t="n">
        <v>1</v>
      </c>
      <c r="D2" s="4" t="inlineStr">
        <is>
          <t>U-DEMO-01</t>
        </is>
      </c>
      <c r="E2" s="4" t="inlineStr">
        <is>
          <t>สมชาย ใจดี</t>
        </is>
      </c>
      <c r="F2" s="4" t="inlineStr">
        <is>
          <t>FAC</t>
        </is>
      </c>
      <c r="G2" s="4" t="n">
        <v>1</v>
      </c>
      <c r="H2" s="4" t="inlineStr">
        <is>
          <t>C1-005</t>
        </is>
      </c>
      <c r="I2" s="4" t="n">
        <v>1</v>
      </c>
      <c r="J2" s="4" t="n">
        <v>1</v>
      </c>
      <c r="K2" s="4" t="inlineStr">
        <is>
          <t>ยาก</t>
        </is>
      </c>
      <c r="L2" s="4" t="b">
        <v>0</v>
      </c>
      <c r="M2" s="4" t="inlineStr">
        <is>
          <t>ง</t>
        </is>
      </c>
      <c r="N2" s="4" t="inlineStr">
        <is>
          <t>ก</t>
        </is>
      </c>
      <c r="O2" s="4" t="b">
        <v>0</v>
      </c>
      <c r="P2" s="4" t="n">
        <v>1</v>
      </c>
      <c r="Q2" s="4" t="n">
        <v>36</v>
      </c>
      <c r="R2" s="4">
        <f>ARRAYFORMULA(IF(D2:D="","",IF(P2:P&lt;=1,"ครั้งแรก",IF(COUNTIFS(D2:D,D2:D,H2:H,H2:H,P2:P,P2:P-1,O2:O,FALSE)&gt;0,IF(O2:O,"ผิด→ถูก","ผิดซ้ำ"),IF(O2:O,"ถูกซ้ำ","ถูก→ผิด")))))</f>
        <v/>
      </c>
    </row>
    <row r="3">
      <c r="A3" s="13" t="n">
        <v>46335.56689814815</v>
      </c>
      <c r="B3" s="11" t="n">
        <v>46335</v>
      </c>
      <c r="C3" s="4" t="n">
        <v>1</v>
      </c>
      <c r="D3" s="4" t="inlineStr">
        <is>
          <t>U-DEMO-01</t>
        </is>
      </c>
      <c r="E3" s="4" t="inlineStr">
        <is>
          <t>สมชาย ใจดี</t>
        </is>
      </c>
      <c r="F3" s="4" t="inlineStr">
        <is>
          <t>FAC</t>
        </is>
      </c>
      <c r="G3" s="4" t="n">
        <v>2</v>
      </c>
      <c r="H3" s="4" t="inlineStr">
        <is>
          <t>C1-006</t>
        </is>
      </c>
      <c r="I3" s="4" t="n">
        <v>1</v>
      </c>
      <c r="J3" s="4" t="n">
        <v>1</v>
      </c>
      <c r="K3" s="4" t="inlineStr">
        <is>
          <t>ง่าย</t>
        </is>
      </c>
      <c r="L3" s="4" t="b">
        <v>0</v>
      </c>
      <c r="M3" s="4" t="inlineStr">
        <is>
          <t>ง</t>
        </is>
      </c>
      <c r="N3" s="4" t="inlineStr">
        <is>
          <t>ง</t>
        </is>
      </c>
      <c r="O3" s="4" t="b">
        <v>1</v>
      </c>
      <c r="P3" s="4" t="n">
        <v>1</v>
      </c>
      <c r="Q3" s="4" t="n">
        <v>39</v>
      </c>
      <c r="R3" s="4" t="n"/>
    </row>
    <row r="4">
      <c r="A4" s="13" t="n">
        <v>46335.56736111111</v>
      </c>
      <c r="B4" s="11" t="n">
        <v>46335</v>
      </c>
      <c r="C4" s="4" t="n">
        <v>1</v>
      </c>
      <c r="D4" s="4" t="inlineStr">
        <is>
          <t>U-DEMO-01</t>
        </is>
      </c>
      <c r="E4" s="4" t="inlineStr">
        <is>
          <t>สมชาย ใจดี</t>
        </is>
      </c>
      <c r="F4" s="4" t="inlineStr">
        <is>
          <t>FAC</t>
        </is>
      </c>
      <c r="G4" s="4" t="n">
        <v>3</v>
      </c>
      <c r="H4" s="4" t="inlineStr">
        <is>
          <t>C2-010</t>
        </is>
      </c>
      <c r="I4" s="4" t="n">
        <v>1</v>
      </c>
      <c r="J4" s="4" t="n">
        <v>2</v>
      </c>
      <c r="K4" s="4" t="inlineStr">
        <is>
          <t>ยาก</t>
        </is>
      </c>
      <c r="L4" s="4" t="b">
        <v>0</v>
      </c>
      <c r="M4" s="4" t="inlineStr">
        <is>
          <t>ข</t>
        </is>
      </c>
      <c r="N4" s="4" t="inlineStr">
        <is>
          <t>ข</t>
        </is>
      </c>
      <c r="O4" s="4" t="b">
        <v>1</v>
      </c>
      <c r="P4" s="4" t="n">
        <v>1</v>
      </c>
      <c r="Q4" s="4" t="n">
        <v>15</v>
      </c>
      <c r="R4" s="4" t="n"/>
    </row>
    <row r="5">
      <c r="A5" s="13" t="n">
        <v>46335.56782407407</v>
      </c>
      <c r="B5" s="11" t="n">
        <v>46335</v>
      </c>
      <c r="C5" s="4" t="n">
        <v>1</v>
      </c>
      <c r="D5" s="4" t="inlineStr">
        <is>
          <t>U-DEMO-01</t>
        </is>
      </c>
      <c r="E5" s="4" t="inlineStr">
        <is>
          <t>สมชาย ใจดี</t>
        </is>
      </c>
      <c r="F5" s="4" t="inlineStr">
        <is>
          <t>FAC</t>
        </is>
      </c>
      <c r="G5" s="4" t="n">
        <v>4</v>
      </c>
      <c r="H5" s="4" t="inlineStr">
        <is>
          <t>C1-001</t>
        </is>
      </c>
      <c r="I5" s="4" t="n">
        <v>1</v>
      </c>
      <c r="J5" s="4" t="n">
        <v>1</v>
      </c>
      <c r="K5" s="4" t="inlineStr">
        <is>
          <t>ง่าย</t>
        </is>
      </c>
      <c r="L5" s="4" t="b">
        <v>0</v>
      </c>
      <c r="M5" s="4" t="inlineStr">
        <is>
          <t>ก</t>
        </is>
      </c>
      <c r="N5" s="4" t="inlineStr">
        <is>
          <t>ก</t>
        </is>
      </c>
      <c r="O5" s="4" t="b">
        <v>1</v>
      </c>
      <c r="P5" s="4" t="n">
        <v>1</v>
      </c>
      <c r="Q5" s="4" t="n">
        <v>36</v>
      </c>
      <c r="R5" s="4" t="n"/>
    </row>
    <row r="6">
      <c r="A6" s="13" t="n">
        <v>46335.56828703704</v>
      </c>
      <c r="B6" s="11" t="n">
        <v>46335</v>
      </c>
      <c r="C6" s="4" t="n">
        <v>1</v>
      </c>
      <c r="D6" s="4" t="inlineStr">
        <is>
          <t>U-DEMO-01</t>
        </is>
      </c>
      <c r="E6" s="4" t="inlineStr">
        <is>
          <t>สมชาย ใจดี</t>
        </is>
      </c>
      <c r="F6" s="4" t="inlineStr">
        <is>
          <t>FAC</t>
        </is>
      </c>
      <c r="G6" s="4" t="n">
        <v>5</v>
      </c>
      <c r="H6" s="4" t="inlineStr">
        <is>
          <t>C1-011</t>
        </is>
      </c>
      <c r="I6" s="4" t="n">
        <v>1</v>
      </c>
      <c r="J6" s="4" t="n">
        <v>1</v>
      </c>
      <c r="K6" s="4" t="inlineStr">
        <is>
          <t>ง่าย</t>
        </is>
      </c>
      <c r="L6" s="4" t="b">
        <v>0</v>
      </c>
      <c r="M6" s="4" t="inlineStr">
        <is>
          <t>ค</t>
        </is>
      </c>
      <c r="N6" s="4" t="inlineStr">
        <is>
          <t>ก</t>
        </is>
      </c>
      <c r="O6" s="4" t="b">
        <v>0</v>
      </c>
      <c r="P6" s="4" t="n">
        <v>1</v>
      </c>
      <c r="Q6" s="4" t="n">
        <v>25</v>
      </c>
      <c r="R6" s="4" t="n"/>
    </row>
    <row r="7">
      <c r="A7" s="13" t="n">
        <v>46336.37268518518</v>
      </c>
      <c r="B7" s="11" t="n">
        <v>46336</v>
      </c>
      <c r="C7" s="4" t="n">
        <v>1</v>
      </c>
      <c r="D7" s="4" t="inlineStr">
        <is>
          <t>U-DEMO-01</t>
        </is>
      </c>
      <c r="E7" s="4" t="inlineStr">
        <is>
          <t>สมชาย ใจดี</t>
        </is>
      </c>
      <c r="F7" s="4" t="inlineStr">
        <is>
          <t>FAC</t>
        </is>
      </c>
      <c r="G7" s="4" t="n">
        <v>1</v>
      </c>
      <c r="H7" s="4" t="inlineStr">
        <is>
          <t>C1-005</t>
        </is>
      </c>
      <c r="I7" s="4" t="n">
        <v>1</v>
      </c>
      <c r="J7" s="4" t="n">
        <v>1</v>
      </c>
      <c r="K7" s="4" t="inlineStr">
        <is>
          <t>ยาก</t>
        </is>
      </c>
      <c r="L7" s="4" t="b">
        <v>0</v>
      </c>
      <c r="M7" s="4" t="inlineStr">
        <is>
          <t>ง</t>
        </is>
      </c>
      <c r="N7" s="4" t="inlineStr">
        <is>
          <t>ง</t>
        </is>
      </c>
      <c r="O7" s="4" t="b">
        <v>1</v>
      </c>
      <c r="P7" s="4" t="n">
        <v>2</v>
      </c>
      <c r="Q7" s="4" t="n">
        <v>43</v>
      </c>
      <c r="R7" s="4" t="n"/>
    </row>
    <row r="8">
      <c r="A8" s="13" t="n">
        <v>46336.37314814814</v>
      </c>
      <c r="B8" s="11" t="n">
        <v>46336</v>
      </c>
      <c r="C8" s="4" t="n">
        <v>1</v>
      </c>
      <c r="D8" s="4" t="inlineStr">
        <is>
          <t>U-DEMO-01</t>
        </is>
      </c>
      <c r="E8" s="4" t="inlineStr">
        <is>
          <t>สมชาย ใจดี</t>
        </is>
      </c>
      <c r="F8" s="4" t="inlineStr">
        <is>
          <t>FAC</t>
        </is>
      </c>
      <c r="G8" s="4" t="n">
        <v>2</v>
      </c>
      <c r="H8" s="4" t="inlineStr">
        <is>
          <t>C1-011</t>
        </is>
      </c>
      <c r="I8" s="4" t="n">
        <v>1</v>
      </c>
      <c r="J8" s="4" t="n">
        <v>1</v>
      </c>
      <c r="K8" s="4" t="inlineStr">
        <is>
          <t>ง่าย</t>
        </is>
      </c>
      <c r="L8" s="4" t="b">
        <v>0</v>
      </c>
      <c r="M8" s="4" t="inlineStr">
        <is>
          <t>ข</t>
        </is>
      </c>
      <c r="N8" s="4" t="inlineStr">
        <is>
          <t>ข</t>
        </is>
      </c>
      <c r="O8" s="4" t="b">
        <v>1</v>
      </c>
      <c r="P8" s="4" t="n">
        <v>2</v>
      </c>
      <c r="Q8" s="4" t="n">
        <v>39</v>
      </c>
      <c r="R8" s="4" t="n"/>
    </row>
    <row r="9">
      <c r="A9" s="13" t="n">
        <v>46336.37361111111</v>
      </c>
      <c r="B9" s="11" t="n">
        <v>46336</v>
      </c>
      <c r="C9" s="4" t="n">
        <v>1</v>
      </c>
      <c r="D9" s="4" t="inlineStr">
        <is>
          <t>U-DEMO-01</t>
        </is>
      </c>
      <c r="E9" s="4" t="inlineStr">
        <is>
          <t>สมชาย ใจดี</t>
        </is>
      </c>
      <c r="F9" s="4" t="inlineStr">
        <is>
          <t>FAC</t>
        </is>
      </c>
      <c r="G9" s="4" t="n">
        <v>3</v>
      </c>
      <c r="H9" s="4" t="inlineStr">
        <is>
          <t>C1-003</t>
        </is>
      </c>
      <c r="I9" s="4" t="n">
        <v>1</v>
      </c>
      <c r="J9" s="4" t="n">
        <v>1</v>
      </c>
      <c r="K9" s="4" t="inlineStr">
        <is>
          <t>กลาง</t>
        </is>
      </c>
      <c r="L9" s="4" t="b">
        <v>0</v>
      </c>
      <c r="M9" s="4" t="inlineStr">
        <is>
          <t>ง</t>
        </is>
      </c>
      <c r="N9" s="4" t="inlineStr">
        <is>
          <t>ก</t>
        </is>
      </c>
      <c r="O9" s="4" t="b">
        <v>0</v>
      </c>
      <c r="P9" s="4" t="n">
        <v>1</v>
      </c>
      <c r="Q9" s="4" t="n">
        <v>12</v>
      </c>
      <c r="R9" s="4" t="n"/>
    </row>
    <row r="10">
      <c r="A10" s="13" t="n">
        <v>46336.37407407408</v>
      </c>
      <c r="B10" s="11" t="n">
        <v>46336</v>
      </c>
      <c r="C10" s="4" t="n">
        <v>1</v>
      </c>
      <c r="D10" s="4" t="inlineStr">
        <is>
          <t>U-DEMO-01</t>
        </is>
      </c>
      <c r="E10" s="4" t="inlineStr">
        <is>
          <t>สมชาย ใจดี</t>
        </is>
      </c>
      <c r="F10" s="4" t="inlineStr">
        <is>
          <t>FAC</t>
        </is>
      </c>
      <c r="G10" s="4" t="n">
        <v>4</v>
      </c>
      <c r="H10" s="4" t="inlineStr">
        <is>
          <t>C1-009</t>
        </is>
      </c>
      <c r="I10" s="4" t="n">
        <v>1</v>
      </c>
      <c r="J10" s="4" t="n">
        <v>1</v>
      </c>
      <c r="K10" s="4" t="inlineStr">
        <is>
          <t>กลาง</t>
        </is>
      </c>
      <c r="L10" s="4" t="b">
        <v>0</v>
      </c>
      <c r="M10" s="4" t="inlineStr">
        <is>
          <t>ข</t>
        </is>
      </c>
      <c r="N10" s="4" t="inlineStr">
        <is>
          <t>ข</t>
        </is>
      </c>
      <c r="O10" s="4" t="b">
        <v>1</v>
      </c>
      <c r="P10" s="4" t="n">
        <v>1</v>
      </c>
      <c r="Q10" s="4" t="n">
        <v>24</v>
      </c>
      <c r="R10" s="4" t="n"/>
    </row>
    <row r="11">
      <c r="A11" s="13" t="n">
        <v>46336.37453703704</v>
      </c>
      <c r="B11" s="11" t="n">
        <v>46336</v>
      </c>
      <c r="C11" s="4" t="n">
        <v>1</v>
      </c>
      <c r="D11" s="4" t="inlineStr">
        <is>
          <t>U-DEMO-01</t>
        </is>
      </c>
      <c r="E11" s="4" t="inlineStr">
        <is>
          <t>สมชาย ใจดี</t>
        </is>
      </c>
      <c r="F11" s="4" t="inlineStr">
        <is>
          <t>FAC</t>
        </is>
      </c>
      <c r="G11" s="4" t="n">
        <v>5</v>
      </c>
      <c r="H11" s="4" t="inlineStr">
        <is>
          <t>C1-007</t>
        </is>
      </c>
      <c r="I11" s="4" t="n">
        <v>1</v>
      </c>
      <c r="J11" s="4" t="n">
        <v>1</v>
      </c>
      <c r="K11" s="4" t="inlineStr">
        <is>
          <t>ง่าย</t>
        </is>
      </c>
      <c r="L11" s="4" t="b">
        <v>1</v>
      </c>
      <c r="M11" s="4" t="inlineStr">
        <is>
          <t>ก</t>
        </is>
      </c>
      <c r="N11" s="4" t="inlineStr">
        <is>
          <t>ก</t>
        </is>
      </c>
      <c r="O11" s="4" t="b">
        <v>1</v>
      </c>
      <c r="P11" s="4" t="n">
        <v>1</v>
      </c>
      <c r="Q11" s="4" t="n">
        <v>20</v>
      </c>
      <c r="R11" s="4" t="n"/>
    </row>
    <row r="12">
      <c r="A12" s="13" t="n">
        <v>46337.44351851852</v>
      </c>
      <c r="B12" s="11" t="n">
        <v>46337</v>
      </c>
      <c r="C12" s="4" t="n">
        <v>1</v>
      </c>
      <c r="D12" s="4" t="inlineStr">
        <is>
          <t>U-DEMO-01</t>
        </is>
      </c>
      <c r="E12" s="4" t="inlineStr">
        <is>
          <t>สมชาย ใจดี</t>
        </is>
      </c>
      <c r="F12" s="4" t="inlineStr">
        <is>
          <t>FAC</t>
        </is>
      </c>
      <c r="G12" s="4" t="n">
        <v>1</v>
      </c>
      <c r="H12" s="4" t="inlineStr">
        <is>
          <t>C1-003</t>
        </is>
      </c>
      <c r="I12" s="4" t="n">
        <v>1</v>
      </c>
      <c r="J12" s="4" t="n">
        <v>1</v>
      </c>
      <c r="K12" s="4" t="inlineStr">
        <is>
          <t>กลาง</t>
        </is>
      </c>
      <c r="L12" s="4" t="b">
        <v>0</v>
      </c>
      <c r="M12" s="4" t="inlineStr">
        <is>
          <t>ก</t>
        </is>
      </c>
      <c r="N12" s="4" t="inlineStr">
        <is>
          <t>ก</t>
        </is>
      </c>
      <c r="O12" s="4" t="b">
        <v>1</v>
      </c>
      <c r="P12" s="4" t="n">
        <v>2</v>
      </c>
      <c r="Q12" s="4" t="n">
        <v>15</v>
      </c>
      <c r="R12" s="4" t="n"/>
    </row>
    <row r="13">
      <c r="A13" s="13" t="n">
        <v>46337.44398148148</v>
      </c>
      <c r="B13" s="11" t="n">
        <v>46337</v>
      </c>
      <c r="C13" s="4" t="n">
        <v>1</v>
      </c>
      <c r="D13" s="4" t="inlineStr">
        <is>
          <t>U-DEMO-01</t>
        </is>
      </c>
      <c r="E13" s="4" t="inlineStr">
        <is>
          <t>สมชาย ใจดี</t>
        </is>
      </c>
      <c r="F13" s="4" t="inlineStr">
        <is>
          <t>FAC</t>
        </is>
      </c>
      <c r="G13" s="4" t="n">
        <v>2</v>
      </c>
      <c r="H13" s="4" t="inlineStr">
        <is>
          <t>C2-006</t>
        </is>
      </c>
      <c r="I13" s="4" t="n">
        <v>1</v>
      </c>
      <c r="J13" s="4" t="n">
        <v>2</v>
      </c>
      <c r="K13" s="4" t="inlineStr">
        <is>
          <t>ง่าย</t>
        </is>
      </c>
      <c r="L13" s="4" t="b">
        <v>0</v>
      </c>
      <c r="M13" s="4" t="inlineStr">
        <is>
          <t>ข</t>
        </is>
      </c>
      <c r="N13" s="4" t="inlineStr">
        <is>
          <t>ข</t>
        </is>
      </c>
      <c r="O13" s="4" t="b">
        <v>1</v>
      </c>
      <c r="P13" s="4" t="n">
        <v>1</v>
      </c>
      <c r="Q13" s="4" t="n">
        <v>29</v>
      </c>
      <c r="R13" s="4" t="n"/>
    </row>
    <row r="14">
      <c r="A14" s="13" t="n">
        <v>46337.44444444445</v>
      </c>
      <c r="B14" s="11" t="n">
        <v>46337</v>
      </c>
      <c r="C14" s="4" t="n">
        <v>1</v>
      </c>
      <c r="D14" s="4" t="inlineStr">
        <is>
          <t>U-DEMO-01</t>
        </is>
      </c>
      <c r="E14" s="4" t="inlineStr">
        <is>
          <t>สมชาย ใจดี</t>
        </is>
      </c>
      <c r="F14" s="4" t="inlineStr">
        <is>
          <t>FAC</t>
        </is>
      </c>
      <c r="G14" s="4" t="n">
        <v>3</v>
      </c>
      <c r="H14" s="4" t="inlineStr">
        <is>
          <t>C1-007</t>
        </is>
      </c>
      <c r="I14" s="4" t="n">
        <v>1</v>
      </c>
      <c r="J14" s="4" t="n">
        <v>1</v>
      </c>
      <c r="K14" s="4" t="inlineStr">
        <is>
          <t>ง่าย</t>
        </is>
      </c>
      <c r="L14" s="4" t="b">
        <v>1</v>
      </c>
      <c r="M14" s="4" t="inlineStr">
        <is>
          <t>ก</t>
        </is>
      </c>
      <c r="N14" s="4" t="inlineStr">
        <is>
          <t>ก</t>
        </is>
      </c>
      <c r="O14" s="4" t="b">
        <v>1</v>
      </c>
      <c r="P14" s="4" t="n">
        <v>2</v>
      </c>
      <c r="Q14" s="4" t="n">
        <v>19</v>
      </c>
      <c r="R14" s="4" t="n"/>
    </row>
    <row r="15">
      <c r="A15" s="13" t="n">
        <v>46337.44490740741</v>
      </c>
      <c r="B15" s="11" t="n">
        <v>46337</v>
      </c>
      <c r="C15" s="4" t="n">
        <v>1</v>
      </c>
      <c r="D15" s="4" t="inlineStr">
        <is>
          <t>U-DEMO-01</t>
        </is>
      </c>
      <c r="E15" s="4" t="inlineStr">
        <is>
          <t>สมชาย ใจดี</t>
        </is>
      </c>
      <c r="F15" s="4" t="inlineStr">
        <is>
          <t>FAC</t>
        </is>
      </c>
      <c r="G15" s="4" t="n">
        <v>4</v>
      </c>
      <c r="H15" s="4" t="inlineStr">
        <is>
          <t>C2-002</t>
        </is>
      </c>
      <c r="I15" s="4" t="n">
        <v>1</v>
      </c>
      <c r="J15" s="4" t="n">
        <v>2</v>
      </c>
      <c r="K15" s="4" t="inlineStr">
        <is>
          <t>ง่าย</t>
        </is>
      </c>
      <c r="L15" s="4" t="b">
        <v>0</v>
      </c>
      <c r="M15" s="4" t="inlineStr">
        <is>
          <t>ก</t>
        </is>
      </c>
      <c r="N15" s="4" t="inlineStr">
        <is>
          <t>ง</t>
        </is>
      </c>
      <c r="O15" s="4" t="b">
        <v>0</v>
      </c>
      <c r="P15" s="4" t="n">
        <v>1</v>
      </c>
      <c r="Q15" s="4" t="n">
        <v>22</v>
      </c>
      <c r="R15" s="4" t="n"/>
    </row>
    <row r="16">
      <c r="A16" s="13" t="n">
        <v>46337.44537037037</v>
      </c>
      <c r="B16" s="11" t="n">
        <v>46337</v>
      </c>
      <c r="C16" s="4" t="n">
        <v>1</v>
      </c>
      <c r="D16" s="4" t="inlineStr">
        <is>
          <t>U-DEMO-01</t>
        </is>
      </c>
      <c r="E16" s="4" t="inlineStr">
        <is>
          <t>สมชาย ใจดี</t>
        </is>
      </c>
      <c r="F16" s="4" t="inlineStr">
        <is>
          <t>FAC</t>
        </is>
      </c>
      <c r="G16" s="4" t="n">
        <v>5</v>
      </c>
      <c r="H16" s="4" t="inlineStr">
        <is>
          <t>C2-001</t>
        </is>
      </c>
      <c r="I16" s="4" t="n">
        <v>1</v>
      </c>
      <c r="J16" s="4" t="n">
        <v>2</v>
      </c>
      <c r="K16" s="4" t="inlineStr">
        <is>
          <t>ง่าย</t>
        </is>
      </c>
      <c r="L16" s="4" t="b">
        <v>0</v>
      </c>
      <c r="M16" s="4" t="inlineStr">
        <is>
          <t>ก</t>
        </is>
      </c>
      <c r="N16" s="4" t="inlineStr">
        <is>
          <t>ก</t>
        </is>
      </c>
      <c r="O16" s="4" t="b">
        <v>1</v>
      </c>
      <c r="P16" s="4" t="n">
        <v>1</v>
      </c>
      <c r="Q16" s="4" t="n">
        <v>35</v>
      </c>
      <c r="R16" s="4" t="n"/>
    </row>
    <row r="17">
      <c r="A17" s="13" t="n">
        <v>46342.72337962963</v>
      </c>
      <c r="B17" s="11" t="n">
        <v>46342</v>
      </c>
      <c r="C17" s="4" t="n">
        <v>2</v>
      </c>
      <c r="D17" s="4" t="inlineStr">
        <is>
          <t>U-DEMO-01</t>
        </is>
      </c>
      <c r="E17" s="4" t="inlineStr">
        <is>
          <t>สมชาย ใจดี</t>
        </is>
      </c>
      <c r="F17" s="4" t="inlineStr">
        <is>
          <t>FAC</t>
        </is>
      </c>
      <c r="G17" s="4" t="n">
        <v>1</v>
      </c>
      <c r="H17" s="4" t="inlineStr">
        <is>
          <t>C3-012</t>
        </is>
      </c>
      <c r="I17" s="4" t="n">
        <v>1</v>
      </c>
      <c r="J17" s="4" t="n">
        <v>3</v>
      </c>
      <c r="K17" s="4" t="inlineStr">
        <is>
          <t>ง่าย</t>
        </is>
      </c>
      <c r="L17" s="4" t="b">
        <v>0</v>
      </c>
      <c r="M17" s="4" t="inlineStr">
        <is>
          <t>ก</t>
        </is>
      </c>
      <c r="N17" s="4" t="inlineStr">
        <is>
          <t>ก</t>
        </is>
      </c>
      <c r="O17" s="4" t="b">
        <v>1</v>
      </c>
      <c r="P17" s="4" t="n">
        <v>1</v>
      </c>
      <c r="Q17" s="4" t="n">
        <v>25</v>
      </c>
      <c r="R17" s="4" t="n"/>
    </row>
    <row r="18">
      <c r="A18" s="13" t="n">
        <v>46342.72384259259</v>
      </c>
      <c r="B18" s="11" t="n">
        <v>46342</v>
      </c>
      <c r="C18" s="4" t="n">
        <v>2</v>
      </c>
      <c r="D18" s="4" t="inlineStr">
        <is>
          <t>U-DEMO-01</t>
        </is>
      </c>
      <c r="E18" s="4" t="inlineStr">
        <is>
          <t>สมชาย ใจดี</t>
        </is>
      </c>
      <c r="F18" s="4" t="inlineStr">
        <is>
          <t>FAC</t>
        </is>
      </c>
      <c r="G18" s="4" t="n">
        <v>2</v>
      </c>
      <c r="H18" s="4" t="inlineStr">
        <is>
          <t>C4-003</t>
        </is>
      </c>
      <c r="I18" s="4" t="n">
        <v>1</v>
      </c>
      <c r="J18" s="4" t="n">
        <v>4</v>
      </c>
      <c r="K18" s="4" t="inlineStr">
        <is>
          <t>กลาง</t>
        </is>
      </c>
      <c r="L18" s="4" t="b">
        <v>0</v>
      </c>
      <c r="M18" s="4" t="inlineStr">
        <is>
          <t>ค</t>
        </is>
      </c>
      <c r="N18" s="4" t="inlineStr">
        <is>
          <t>ค</t>
        </is>
      </c>
      <c r="O18" s="4" t="b">
        <v>1</v>
      </c>
      <c r="P18" s="4" t="n">
        <v>1</v>
      </c>
      <c r="Q18" s="4" t="n">
        <v>32</v>
      </c>
      <c r="R18" s="4" t="n"/>
    </row>
    <row r="19">
      <c r="A19" s="13" t="n">
        <v>46342.72430555556</v>
      </c>
      <c r="B19" s="11" t="n">
        <v>46342</v>
      </c>
      <c r="C19" s="4" t="n">
        <v>2</v>
      </c>
      <c r="D19" s="4" t="inlineStr">
        <is>
          <t>U-DEMO-01</t>
        </is>
      </c>
      <c r="E19" s="4" t="inlineStr">
        <is>
          <t>สมชาย ใจดี</t>
        </is>
      </c>
      <c r="F19" s="4" t="inlineStr">
        <is>
          <t>FAC</t>
        </is>
      </c>
      <c r="G19" s="4" t="n">
        <v>3</v>
      </c>
      <c r="H19" s="4" t="inlineStr">
        <is>
          <t>C3-007</t>
        </is>
      </c>
      <c r="I19" s="4" t="n">
        <v>1</v>
      </c>
      <c r="J19" s="4" t="n">
        <v>3</v>
      </c>
      <c r="K19" s="4" t="inlineStr">
        <is>
          <t>ง่าย</t>
        </is>
      </c>
      <c r="L19" s="4" t="b">
        <v>1</v>
      </c>
      <c r="M19" s="4" t="inlineStr">
        <is>
          <t>ง</t>
        </is>
      </c>
      <c r="N19" s="4" t="inlineStr">
        <is>
          <t>ค</t>
        </is>
      </c>
      <c r="O19" s="4" t="b">
        <v>0</v>
      </c>
      <c r="P19" s="4" t="n">
        <v>1</v>
      </c>
      <c r="Q19" s="4" t="n">
        <v>30</v>
      </c>
      <c r="R19" s="4" t="n"/>
    </row>
    <row r="20">
      <c r="A20" s="13" t="n">
        <v>46342.72476851852</v>
      </c>
      <c r="B20" s="11" t="n">
        <v>46342</v>
      </c>
      <c r="C20" s="4" t="n">
        <v>2</v>
      </c>
      <c r="D20" s="4" t="inlineStr">
        <is>
          <t>U-DEMO-01</t>
        </is>
      </c>
      <c r="E20" s="4" t="inlineStr">
        <is>
          <t>สมชาย ใจดี</t>
        </is>
      </c>
      <c r="F20" s="4" t="inlineStr">
        <is>
          <t>FAC</t>
        </is>
      </c>
      <c r="G20" s="4" t="n">
        <v>4</v>
      </c>
      <c r="H20" s="4" t="inlineStr">
        <is>
          <t>C4-001</t>
        </is>
      </c>
      <c r="I20" s="4" t="n">
        <v>1</v>
      </c>
      <c r="J20" s="4" t="n">
        <v>4</v>
      </c>
      <c r="K20" s="4" t="inlineStr">
        <is>
          <t>ง่าย</t>
        </is>
      </c>
      <c r="L20" s="4" t="b">
        <v>0</v>
      </c>
      <c r="M20" s="4" t="inlineStr">
        <is>
          <t>ก</t>
        </is>
      </c>
      <c r="N20" s="4" t="inlineStr">
        <is>
          <t>ก</t>
        </is>
      </c>
      <c r="O20" s="4" t="b">
        <v>1</v>
      </c>
      <c r="P20" s="4" t="n">
        <v>1</v>
      </c>
      <c r="Q20" s="4" t="n">
        <v>13</v>
      </c>
      <c r="R20" s="4" t="n"/>
    </row>
    <row r="21">
      <c r="A21" s="13" t="n">
        <v>46342.72523148148</v>
      </c>
      <c r="B21" s="11" t="n">
        <v>46342</v>
      </c>
      <c r="C21" s="4" t="n">
        <v>2</v>
      </c>
      <c r="D21" s="4" t="inlineStr">
        <is>
          <t>U-DEMO-01</t>
        </is>
      </c>
      <c r="E21" s="4" t="inlineStr">
        <is>
          <t>สมชาย ใจดี</t>
        </is>
      </c>
      <c r="F21" s="4" t="inlineStr">
        <is>
          <t>FAC</t>
        </is>
      </c>
      <c r="G21" s="4" t="n">
        <v>5</v>
      </c>
      <c r="H21" s="4" t="inlineStr">
        <is>
          <t>C4-010</t>
        </is>
      </c>
      <c r="I21" s="4" t="n">
        <v>1</v>
      </c>
      <c r="J21" s="4" t="n">
        <v>4</v>
      </c>
      <c r="K21" s="4" t="inlineStr">
        <is>
          <t>ยาก</t>
        </is>
      </c>
      <c r="L21" s="4" t="b">
        <v>0</v>
      </c>
      <c r="M21" s="4" t="inlineStr">
        <is>
          <t>ง</t>
        </is>
      </c>
      <c r="N21" s="4" t="inlineStr">
        <is>
          <t>ง</t>
        </is>
      </c>
      <c r="O21" s="4" t="b">
        <v>1</v>
      </c>
      <c r="P21" s="4" t="n">
        <v>1</v>
      </c>
      <c r="Q21" s="4" t="n">
        <v>43</v>
      </c>
      <c r="R21" s="4" t="n"/>
    </row>
    <row r="22">
      <c r="A22" s="13" t="n">
        <v>46335.44629629629</v>
      </c>
      <c r="B22" s="11" t="n">
        <v>46335</v>
      </c>
      <c r="C22" s="4" t="n">
        <v>1</v>
      </c>
      <c r="D22" s="4" t="inlineStr">
        <is>
          <t>U-DEMO-02</t>
        </is>
      </c>
      <c r="E22" s="4" t="inlineStr">
        <is>
          <t>สมหญิง รักอ่าน</t>
        </is>
      </c>
      <c r="F22" s="4" t="inlineStr">
        <is>
          <t>FAC</t>
        </is>
      </c>
      <c r="G22" s="4" t="n">
        <v>1</v>
      </c>
      <c r="H22" s="4" t="inlineStr">
        <is>
          <t>C2-002</t>
        </is>
      </c>
      <c r="I22" s="4" t="n">
        <v>1</v>
      </c>
      <c r="J22" s="4" t="n">
        <v>2</v>
      </c>
      <c r="K22" s="4" t="inlineStr">
        <is>
          <t>ง่าย</t>
        </is>
      </c>
      <c r="L22" s="4" t="b">
        <v>0</v>
      </c>
      <c r="M22" s="4" t="inlineStr">
        <is>
          <t>ค</t>
        </is>
      </c>
      <c r="N22" s="4" t="inlineStr">
        <is>
          <t>ค</t>
        </is>
      </c>
      <c r="O22" s="4" t="b">
        <v>1</v>
      </c>
      <c r="P22" s="4" t="n">
        <v>1</v>
      </c>
      <c r="Q22" s="4" t="n">
        <v>13</v>
      </c>
      <c r="R22" s="4" t="n"/>
    </row>
    <row r="23">
      <c r="A23" s="13" t="n">
        <v>46335.44675925926</v>
      </c>
      <c r="B23" s="11" t="n">
        <v>46335</v>
      </c>
      <c r="C23" s="4" t="n">
        <v>1</v>
      </c>
      <c r="D23" s="4" t="inlineStr">
        <is>
          <t>U-DEMO-02</t>
        </is>
      </c>
      <c r="E23" s="4" t="inlineStr">
        <is>
          <t>สมหญิง รักอ่าน</t>
        </is>
      </c>
      <c r="F23" s="4" t="inlineStr">
        <is>
          <t>FAC</t>
        </is>
      </c>
      <c r="G23" s="4" t="n">
        <v>2</v>
      </c>
      <c r="H23" s="4" t="inlineStr">
        <is>
          <t>C2-009</t>
        </is>
      </c>
      <c r="I23" s="4" t="n">
        <v>1</v>
      </c>
      <c r="J23" s="4" t="n">
        <v>2</v>
      </c>
      <c r="K23" s="4" t="inlineStr">
        <is>
          <t>กลาง</t>
        </is>
      </c>
      <c r="L23" s="4" t="b">
        <v>0</v>
      </c>
      <c r="M23" s="4" t="inlineStr">
        <is>
          <t>ข</t>
        </is>
      </c>
      <c r="N23" s="4" t="inlineStr">
        <is>
          <t>ข</t>
        </is>
      </c>
      <c r="O23" s="4" t="b">
        <v>1</v>
      </c>
      <c r="P23" s="4" t="n">
        <v>1</v>
      </c>
      <c r="Q23" s="4" t="n">
        <v>28</v>
      </c>
      <c r="R23" s="4" t="n"/>
    </row>
    <row r="24">
      <c r="A24" s="13" t="n">
        <v>46335.44722222222</v>
      </c>
      <c r="B24" s="11" t="n">
        <v>46335</v>
      </c>
      <c r="C24" s="4" t="n">
        <v>1</v>
      </c>
      <c r="D24" s="4" t="inlineStr">
        <is>
          <t>U-DEMO-02</t>
        </is>
      </c>
      <c r="E24" s="4" t="inlineStr">
        <is>
          <t>สมหญิง รักอ่าน</t>
        </is>
      </c>
      <c r="F24" s="4" t="inlineStr">
        <is>
          <t>FAC</t>
        </is>
      </c>
      <c r="G24" s="4" t="n">
        <v>3</v>
      </c>
      <c r="H24" s="4" t="inlineStr">
        <is>
          <t>C1-008</t>
        </is>
      </c>
      <c r="I24" s="4" t="n">
        <v>1</v>
      </c>
      <c r="J24" s="4" t="n">
        <v>1</v>
      </c>
      <c r="K24" s="4" t="inlineStr">
        <is>
          <t>กลาง</t>
        </is>
      </c>
      <c r="L24" s="4" t="b">
        <v>0</v>
      </c>
      <c r="M24" s="4" t="inlineStr">
        <is>
          <t>ง</t>
        </is>
      </c>
      <c r="N24" s="4" t="inlineStr">
        <is>
          <t>ก</t>
        </is>
      </c>
      <c r="O24" s="4" t="b">
        <v>0</v>
      </c>
      <c r="P24" s="4" t="n">
        <v>1</v>
      </c>
      <c r="Q24" s="4" t="n">
        <v>21</v>
      </c>
      <c r="R24" s="4" t="n"/>
    </row>
    <row r="25">
      <c r="A25" s="13" t="n">
        <v>46335.44768518519</v>
      </c>
      <c r="B25" s="11" t="n">
        <v>46335</v>
      </c>
      <c r="C25" s="4" t="n">
        <v>1</v>
      </c>
      <c r="D25" s="4" t="inlineStr">
        <is>
          <t>U-DEMO-02</t>
        </is>
      </c>
      <c r="E25" s="4" t="inlineStr">
        <is>
          <t>สมหญิง รักอ่าน</t>
        </is>
      </c>
      <c r="F25" s="4" t="inlineStr">
        <is>
          <t>FAC</t>
        </is>
      </c>
      <c r="G25" s="4" t="n">
        <v>4</v>
      </c>
      <c r="H25" s="4" t="inlineStr">
        <is>
          <t>C1-004</t>
        </is>
      </c>
      <c r="I25" s="4" t="n">
        <v>1</v>
      </c>
      <c r="J25" s="4" t="n">
        <v>1</v>
      </c>
      <c r="K25" s="4" t="inlineStr">
        <is>
          <t>กลาง</t>
        </is>
      </c>
      <c r="L25" s="4" t="b">
        <v>0</v>
      </c>
      <c r="M25" s="4" t="inlineStr">
        <is>
          <t>ก</t>
        </is>
      </c>
      <c r="N25" s="4" t="inlineStr">
        <is>
          <t>ก</t>
        </is>
      </c>
      <c r="O25" s="4" t="b">
        <v>1</v>
      </c>
      <c r="P25" s="4" t="n">
        <v>1</v>
      </c>
      <c r="Q25" s="4" t="n">
        <v>40</v>
      </c>
      <c r="R25" s="4" t="n"/>
    </row>
    <row r="26">
      <c r="A26" s="13" t="n">
        <v>46335.44814814815</v>
      </c>
      <c r="B26" s="11" t="n">
        <v>46335</v>
      </c>
      <c r="C26" s="4" t="n">
        <v>1</v>
      </c>
      <c r="D26" s="4" t="inlineStr">
        <is>
          <t>U-DEMO-02</t>
        </is>
      </c>
      <c r="E26" s="4" t="inlineStr">
        <is>
          <t>สมหญิง รักอ่าน</t>
        </is>
      </c>
      <c r="F26" s="4" t="inlineStr">
        <is>
          <t>FAC</t>
        </is>
      </c>
      <c r="G26" s="4" t="n">
        <v>5</v>
      </c>
      <c r="H26" s="4" t="inlineStr">
        <is>
          <t>C2-001</t>
        </is>
      </c>
      <c r="I26" s="4" t="n">
        <v>1</v>
      </c>
      <c r="J26" s="4" t="n">
        <v>2</v>
      </c>
      <c r="K26" s="4" t="inlineStr">
        <is>
          <t>ง่าย</t>
        </is>
      </c>
      <c r="L26" s="4" t="b">
        <v>0</v>
      </c>
      <c r="M26" s="4" t="inlineStr">
        <is>
          <t>ง</t>
        </is>
      </c>
      <c r="N26" s="4" t="inlineStr">
        <is>
          <t>ง</t>
        </is>
      </c>
      <c r="O26" s="4" t="b">
        <v>1</v>
      </c>
      <c r="P26" s="4" t="n">
        <v>1</v>
      </c>
      <c r="Q26" s="4" t="n">
        <v>30</v>
      </c>
      <c r="R26" s="4" t="n"/>
    </row>
    <row r="27">
      <c r="A27" s="13" t="n">
        <v>46336.37824074074</v>
      </c>
      <c r="B27" s="11" t="n">
        <v>46336</v>
      </c>
      <c r="C27" s="4" t="n">
        <v>1</v>
      </c>
      <c r="D27" s="4" t="inlineStr">
        <is>
          <t>U-DEMO-02</t>
        </is>
      </c>
      <c r="E27" s="4" t="inlineStr">
        <is>
          <t>สมหญิง รักอ่าน</t>
        </is>
      </c>
      <c r="F27" s="4" t="inlineStr">
        <is>
          <t>FAC</t>
        </is>
      </c>
      <c r="G27" s="4" t="n">
        <v>1</v>
      </c>
      <c r="H27" s="4" t="inlineStr">
        <is>
          <t>C1-008</t>
        </is>
      </c>
      <c r="I27" s="4" t="n">
        <v>1</v>
      </c>
      <c r="J27" s="4" t="n">
        <v>1</v>
      </c>
      <c r="K27" s="4" t="inlineStr">
        <is>
          <t>กลาง</t>
        </is>
      </c>
      <c r="L27" s="4" t="b">
        <v>0</v>
      </c>
      <c r="M27" s="4" t="inlineStr">
        <is>
          <t>ข</t>
        </is>
      </c>
      <c r="N27" s="4" t="inlineStr">
        <is>
          <t>ข</t>
        </is>
      </c>
      <c r="O27" s="4" t="b">
        <v>1</v>
      </c>
      <c r="P27" s="4" t="n">
        <v>2</v>
      </c>
      <c r="Q27" s="4" t="n">
        <v>47</v>
      </c>
      <c r="R27" s="4" t="n"/>
    </row>
    <row r="28">
      <c r="A28" s="13" t="n">
        <v>46336.3787037037</v>
      </c>
      <c r="B28" s="11" t="n">
        <v>46336</v>
      </c>
      <c r="C28" s="4" t="n">
        <v>1</v>
      </c>
      <c r="D28" s="4" t="inlineStr">
        <is>
          <t>U-DEMO-02</t>
        </is>
      </c>
      <c r="E28" s="4" t="inlineStr">
        <is>
          <t>สมหญิง รักอ่าน</t>
        </is>
      </c>
      <c r="F28" s="4" t="inlineStr">
        <is>
          <t>FAC</t>
        </is>
      </c>
      <c r="G28" s="4" t="n">
        <v>2</v>
      </c>
      <c r="H28" s="4" t="inlineStr">
        <is>
          <t>C1-005</t>
        </is>
      </c>
      <c r="I28" s="4" t="n">
        <v>1</v>
      </c>
      <c r="J28" s="4" t="n">
        <v>1</v>
      </c>
      <c r="K28" s="4" t="inlineStr">
        <is>
          <t>ยาก</t>
        </is>
      </c>
      <c r="L28" s="4" t="b">
        <v>0</v>
      </c>
      <c r="M28" s="4" t="inlineStr">
        <is>
          <t>ค</t>
        </is>
      </c>
      <c r="N28" s="4" t="inlineStr">
        <is>
          <t>ง</t>
        </is>
      </c>
      <c r="O28" s="4" t="b">
        <v>0</v>
      </c>
      <c r="P28" s="4" t="n">
        <v>1</v>
      </c>
      <c r="Q28" s="4" t="n">
        <v>22</v>
      </c>
      <c r="R28" s="4" t="n"/>
    </row>
    <row r="29">
      <c r="A29" s="13" t="n">
        <v>46336.37916666667</v>
      </c>
      <c r="B29" s="11" t="n">
        <v>46336</v>
      </c>
      <c r="C29" s="4" t="n">
        <v>1</v>
      </c>
      <c r="D29" s="4" t="inlineStr">
        <is>
          <t>U-DEMO-02</t>
        </is>
      </c>
      <c r="E29" s="4" t="inlineStr">
        <is>
          <t>สมหญิง รักอ่าน</t>
        </is>
      </c>
      <c r="F29" s="4" t="inlineStr">
        <is>
          <t>FAC</t>
        </is>
      </c>
      <c r="G29" s="4" t="n">
        <v>3</v>
      </c>
      <c r="H29" s="4" t="inlineStr">
        <is>
          <t>C2-004</t>
        </is>
      </c>
      <c r="I29" s="4" t="n">
        <v>1</v>
      </c>
      <c r="J29" s="4" t="n">
        <v>2</v>
      </c>
      <c r="K29" s="4" t="inlineStr">
        <is>
          <t>กลาง</t>
        </is>
      </c>
      <c r="L29" s="4" t="b">
        <v>0</v>
      </c>
      <c r="M29" s="4" t="inlineStr">
        <is>
          <t>ง</t>
        </is>
      </c>
      <c r="N29" s="4" t="inlineStr">
        <is>
          <t>ค</t>
        </is>
      </c>
      <c r="O29" s="4" t="b">
        <v>0</v>
      </c>
      <c r="P29" s="4" t="n">
        <v>1</v>
      </c>
      <c r="Q29" s="4" t="n">
        <v>50</v>
      </c>
      <c r="R29" s="4" t="n"/>
    </row>
    <row r="30">
      <c r="A30" s="13" t="n">
        <v>46336.37962962963</v>
      </c>
      <c r="B30" s="11" t="n">
        <v>46336</v>
      </c>
      <c r="C30" s="4" t="n">
        <v>1</v>
      </c>
      <c r="D30" s="4" t="inlineStr">
        <is>
          <t>U-DEMO-02</t>
        </is>
      </c>
      <c r="E30" s="4" t="inlineStr">
        <is>
          <t>สมหญิง รักอ่าน</t>
        </is>
      </c>
      <c r="F30" s="4" t="inlineStr">
        <is>
          <t>FAC</t>
        </is>
      </c>
      <c r="G30" s="4" t="n">
        <v>4</v>
      </c>
      <c r="H30" s="4" t="inlineStr">
        <is>
          <t>C2-006</t>
        </is>
      </c>
      <c r="I30" s="4" t="n">
        <v>1</v>
      </c>
      <c r="J30" s="4" t="n">
        <v>2</v>
      </c>
      <c r="K30" s="4" t="inlineStr">
        <is>
          <t>ง่าย</t>
        </is>
      </c>
      <c r="L30" s="4" t="b">
        <v>0</v>
      </c>
      <c r="M30" s="4" t="inlineStr">
        <is>
          <t>ก</t>
        </is>
      </c>
      <c r="N30" s="4" t="inlineStr">
        <is>
          <t>ก</t>
        </is>
      </c>
      <c r="O30" s="4" t="b">
        <v>1</v>
      </c>
      <c r="P30" s="4" t="n">
        <v>1</v>
      </c>
      <c r="Q30" s="4" t="n">
        <v>15</v>
      </c>
      <c r="R30" s="4" t="n"/>
    </row>
    <row r="31">
      <c r="A31" s="13" t="n">
        <v>46336.38009259259</v>
      </c>
      <c r="B31" s="11" t="n">
        <v>46336</v>
      </c>
      <c r="C31" s="4" t="n">
        <v>1</v>
      </c>
      <c r="D31" s="4" t="inlineStr">
        <is>
          <t>U-DEMO-02</t>
        </is>
      </c>
      <c r="E31" s="4" t="inlineStr">
        <is>
          <t>สมหญิง รักอ่าน</t>
        </is>
      </c>
      <c r="F31" s="4" t="inlineStr">
        <is>
          <t>FAC</t>
        </is>
      </c>
      <c r="G31" s="4" t="n">
        <v>5</v>
      </c>
      <c r="H31" s="4" t="inlineStr">
        <is>
          <t>C1-009</t>
        </is>
      </c>
      <c r="I31" s="4" t="n">
        <v>1</v>
      </c>
      <c r="J31" s="4" t="n">
        <v>1</v>
      </c>
      <c r="K31" s="4" t="inlineStr">
        <is>
          <t>กลาง</t>
        </is>
      </c>
      <c r="L31" s="4" t="b">
        <v>0</v>
      </c>
      <c r="M31" s="4" t="inlineStr">
        <is>
          <t>ข</t>
        </is>
      </c>
      <c r="N31" s="4" t="inlineStr">
        <is>
          <t>ข</t>
        </is>
      </c>
      <c r="O31" s="4" t="b">
        <v>1</v>
      </c>
      <c r="P31" s="4" t="n">
        <v>1</v>
      </c>
      <c r="Q31" s="4" t="n">
        <v>23</v>
      </c>
      <c r="R31" s="4" t="n"/>
    </row>
    <row r="32">
      <c r="A32" s="13" t="n">
        <v>46337.38310185185</v>
      </c>
      <c r="B32" s="11" t="n">
        <v>46337</v>
      </c>
      <c r="C32" s="4" t="n">
        <v>1</v>
      </c>
      <c r="D32" s="4" t="inlineStr">
        <is>
          <t>U-DEMO-02</t>
        </is>
      </c>
      <c r="E32" s="4" t="inlineStr">
        <is>
          <t>สมหญิง รักอ่าน</t>
        </is>
      </c>
      <c r="F32" s="4" t="inlineStr">
        <is>
          <t>FAC</t>
        </is>
      </c>
      <c r="G32" s="4" t="n">
        <v>1</v>
      </c>
      <c r="H32" s="4" t="inlineStr">
        <is>
          <t>C1-005</t>
        </is>
      </c>
      <c r="I32" s="4" t="n">
        <v>1</v>
      </c>
      <c r="J32" s="4" t="n">
        <v>1</v>
      </c>
      <c r="K32" s="4" t="inlineStr">
        <is>
          <t>ยาก</t>
        </is>
      </c>
      <c r="L32" s="4" t="b">
        <v>0</v>
      </c>
      <c r="M32" s="4" t="inlineStr">
        <is>
          <t>ค</t>
        </is>
      </c>
      <c r="N32" s="4" t="inlineStr">
        <is>
          <t>ค</t>
        </is>
      </c>
      <c r="O32" s="4" t="b">
        <v>1</v>
      </c>
      <c r="P32" s="4" t="n">
        <v>2</v>
      </c>
      <c r="Q32" s="4" t="n">
        <v>46</v>
      </c>
      <c r="R32" s="4" t="n"/>
    </row>
    <row r="33">
      <c r="A33" s="13" t="n">
        <v>46337.38356481482</v>
      </c>
      <c r="B33" s="11" t="n">
        <v>46337</v>
      </c>
      <c r="C33" s="4" t="n">
        <v>1</v>
      </c>
      <c r="D33" s="4" t="inlineStr">
        <is>
          <t>U-DEMO-02</t>
        </is>
      </c>
      <c r="E33" s="4" t="inlineStr">
        <is>
          <t>สมหญิง รักอ่าน</t>
        </is>
      </c>
      <c r="F33" s="4" t="inlineStr">
        <is>
          <t>FAC</t>
        </is>
      </c>
      <c r="G33" s="4" t="n">
        <v>2</v>
      </c>
      <c r="H33" s="4" t="inlineStr">
        <is>
          <t>C2-004</t>
        </is>
      </c>
      <c r="I33" s="4" t="n">
        <v>1</v>
      </c>
      <c r="J33" s="4" t="n">
        <v>2</v>
      </c>
      <c r="K33" s="4" t="inlineStr">
        <is>
          <t>กลาง</t>
        </is>
      </c>
      <c r="L33" s="4" t="b">
        <v>0</v>
      </c>
      <c r="M33" s="4" t="inlineStr">
        <is>
          <t>ก</t>
        </is>
      </c>
      <c r="N33" s="4" t="inlineStr">
        <is>
          <t>ก</t>
        </is>
      </c>
      <c r="O33" s="4" t="b">
        <v>1</v>
      </c>
      <c r="P33" s="4" t="n">
        <v>2</v>
      </c>
      <c r="Q33" s="4" t="n">
        <v>49</v>
      </c>
      <c r="R33" s="4" t="n"/>
    </row>
    <row r="34">
      <c r="A34" s="13" t="n">
        <v>46337.38402777778</v>
      </c>
      <c r="B34" s="11" t="n">
        <v>46337</v>
      </c>
      <c r="C34" s="4" t="n">
        <v>1</v>
      </c>
      <c r="D34" s="4" t="inlineStr">
        <is>
          <t>U-DEMO-02</t>
        </is>
      </c>
      <c r="E34" s="4" t="inlineStr">
        <is>
          <t>สมหญิง รักอ่าน</t>
        </is>
      </c>
      <c r="F34" s="4" t="inlineStr">
        <is>
          <t>FAC</t>
        </is>
      </c>
      <c r="G34" s="4" t="n">
        <v>3</v>
      </c>
      <c r="H34" s="4" t="inlineStr">
        <is>
          <t>C1-001</t>
        </is>
      </c>
      <c r="I34" s="4" t="n">
        <v>1</v>
      </c>
      <c r="J34" s="4" t="n">
        <v>1</v>
      </c>
      <c r="K34" s="4" t="inlineStr">
        <is>
          <t>ง่าย</t>
        </is>
      </c>
      <c r="L34" s="4" t="b">
        <v>0</v>
      </c>
      <c r="M34" s="4" t="inlineStr">
        <is>
          <t>ค</t>
        </is>
      </c>
      <c r="N34" s="4" t="inlineStr">
        <is>
          <t>ง</t>
        </is>
      </c>
      <c r="O34" s="4" t="b">
        <v>0</v>
      </c>
      <c r="P34" s="4" t="n">
        <v>1</v>
      </c>
      <c r="Q34" s="4" t="n">
        <v>31</v>
      </c>
      <c r="R34" s="4" t="n"/>
    </row>
    <row r="35">
      <c r="A35" s="13" t="n">
        <v>46337.38449074074</v>
      </c>
      <c r="B35" s="11" t="n">
        <v>46337</v>
      </c>
      <c r="C35" s="4" t="n">
        <v>1</v>
      </c>
      <c r="D35" s="4" t="inlineStr">
        <is>
          <t>U-DEMO-02</t>
        </is>
      </c>
      <c r="E35" s="4" t="inlineStr">
        <is>
          <t>สมหญิง รักอ่าน</t>
        </is>
      </c>
      <c r="F35" s="4" t="inlineStr">
        <is>
          <t>FAC</t>
        </is>
      </c>
      <c r="G35" s="4" t="n">
        <v>4</v>
      </c>
      <c r="H35" s="4" t="inlineStr">
        <is>
          <t>C1-007</t>
        </is>
      </c>
      <c r="I35" s="4" t="n">
        <v>1</v>
      </c>
      <c r="J35" s="4" t="n">
        <v>1</v>
      </c>
      <c r="K35" s="4" t="inlineStr">
        <is>
          <t>ง่าย</t>
        </is>
      </c>
      <c r="L35" s="4" t="b">
        <v>1</v>
      </c>
      <c r="M35" s="4" t="inlineStr">
        <is>
          <t>ก</t>
        </is>
      </c>
      <c r="N35" s="4" t="inlineStr">
        <is>
          <t>ก</t>
        </is>
      </c>
      <c r="O35" s="4" t="b">
        <v>1</v>
      </c>
      <c r="P35" s="4" t="n">
        <v>1</v>
      </c>
      <c r="Q35" s="4" t="n">
        <v>53</v>
      </c>
      <c r="R35" s="4" t="n"/>
    </row>
    <row r="36">
      <c r="A36" s="13" t="n">
        <v>46337.3849537037</v>
      </c>
      <c r="B36" s="11" t="n">
        <v>46337</v>
      </c>
      <c r="C36" s="4" t="n">
        <v>1</v>
      </c>
      <c r="D36" s="4" t="inlineStr">
        <is>
          <t>U-DEMO-02</t>
        </is>
      </c>
      <c r="E36" s="4" t="inlineStr">
        <is>
          <t>สมหญิง รักอ่าน</t>
        </is>
      </c>
      <c r="F36" s="4" t="inlineStr">
        <is>
          <t>FAC</t>
        </is>
      </c>
      <c r="G36" s="4" t="n">
        <v>5</v>
      </c>
      <c r="H36" s="4" t="inlineStr">
        <is>
          <t>C1-006</t>
        </is>
      </c>
      <c r="I36" s="4" t="n">
        <v>1</v>
      </c>
      <c r="J36" s="4" t="n">
        <v>1</v>
      </c>
      <c r="K36" s="4" t="inlineStr">
        <is>
          <t>ง่าย</t>
        </is>
      </c>
      <c r="L36" s="4" t="b">
        <v>0</v>
      </c>
      <c r="M36" s="4" t="inlineStr">
        <is>
          <t>ก</t>
        </is>
      </c>
      <c r="N36" s="4" t="inlineStr">
        <is>
          <t>ค</t>
        </is>
      </c>
      <c r="O36" s="4" t="b">
        <v>0</v>
      </c>
      <c r="P36" s="4" t="n">
        <v>1</v>
      </c>
      <c r="Q36" s="4" t="n">
        <v>26</v>
      </c>
      <c r="R36" s="4" t="n"/>
    </row>
    <row r="37">
      <c r="A37" s="13" t="n">
        <v>46338.63518518519</v>
      </c>
      <c r="B37" s="11" t="n">
        <v>46338</v>
      </c>
      <c r="C37" s="4" t="n">
        <v>1</v>
      </c>
      <c r="D37" s="4" t="inlineStr">
        <is>
          <t>U-DEMO-02</t>
        </is>
      </c>
      <c r="E37" s="4" t="inlineStr">
        <is>
          <t>สมหญิง รักอ่าน</t>
        </is>
      </c>
      <c r="F37" s="4" t="inlineStr">
        <is>
          <t>FAC</t>
        </is>
      </c>
      <c r="G37" s="4" t="n">
        <v>1</v>
      </c>
      <c r="H37" s="4" t="inlineStr">
        <is>
          <t>C1-001</t>
        </is>
      </c>
      <c r="I37" s="4" t="n">
        <v>1</v>
      </c>
      <c r="J37" s="4" t="n">
        <v>1</v>
      </c>
      <c r="K37" s="4" t="inlineStr">
        <is>
          <t>ง่าย</t>
        </is>
      </c>
      <c r="L37" s="4" t="b">
        <v>0</v>
      </c>
      <c r="M37" s="4" t="inlineStr">
        <is>
          <t>ง</t>
        </is>
      </c>
      <c r="N37" s="4" t="inlineStr">
        <is>
          <t>ง</t>
        </is>
      </c>
      <c r="O37" s="4" t="b">
        <v>1</v>
      </c>
      <c r="P37" s="4" t="n">
        <v>2</v>
      </c>
      <c r="Q37" s="4" t="n">
        <v>27</v>
      </c>
      <c r="R37" s="4" t="n"/>
    </row>
    <row r="38">
      <c r="A38" s="13" t="n">
        <v>46338.63564814815</v>
      </c>
      <c r="B38" s="11" t="n">
        <v>46338</v>
      </c>
      <c r="C38" s="4" t="n">
        <v>1</v>
      </c>
      <c r="D38" s="4" t="inlineStr">
        <is>
          <t>U-DEMO-02</t>
        </is>
      </c>
      <c r="E38" s="4" t="inlineStr">
        <is>
          <t>สมหญิง รักอ่าน</t>
        </is>
      </c>
      <c r="F38" s="4" t="inlineStr">
        <is>
          <t>FAC</t>
        </is>
      </c>
      <c r="G38" s="4" t="n">
        <v>2</v>
      </c>
      <c r="H38" s="4" t="inlineStr">
        <is>
          <t>C1-006</t>
        </is>
      </c>
      <c r="I38" s="4" t="n">
        <v>1</v>
      </c>
      <c r="J38" s="4" t="n">
        <v>1</v>
      </c>
      <c r="K38" s="4" t="inlineStr">
        <is>
          <t>ง่าย</t>
        </is>
      </c>
      <c r="L38" s="4" t="b">
        <v>0</v>
      </c>
      <c r="M38" s="4" t="inlineStr">
        <is>
          <t>ก</t>
        </is>
      </c>
      <c r="N38" s="4" t="inlineStr">
        <is>
          <t>ก</t>
        </is>
      </c>
      <c r="O38" s="4" t="b">
        <v>1</v>
      </c>
      <c r="P38" s="4" t="n">
        <v>2</v>
      </c>
      <c r="Q38" s="4" t="n">
        <v>51</v>
      </c>
      <c r="R38" s="4" t="n"/>
    </row>
    <row r="39">
      <c r="A39" s="13" t="n">
        <v>46338.63611111111</v>
      </c>
      <c r="B39" s="11" t="n">
        <v>46338</v>
      </c>
      <c r="C39" s="4" t="n">
        <v>1</v>
      </c>
      <c r="D39" s="4" t="inlineStr">
        <is>
          <t>U-DEMO-02</t>
        </is>
      </c>
      <c r="E39" s="4" t="inlineStr">
        <is>
          <t>สมหญิง รักอ่าน</t>
        </is>
      </c>
      <c r="F39" s="4" t="inlineStr">
        <is>
          <t>FAC</t>
        </is>
      </c>
      <c r="G39" s="4" t="n">
        <v>3</v>
      </c>
      <c r="H39" s="4" t="inlineStr">
        <is>
          <t>C2-003</t>
        </is>
      </c>
      <c r="I39" s="4" t="n">
        <v>1</v>
      </c>
      <c r="J39" s="4" t="n">
        <v>2</v>
      </c>
      <c r="K39" s="4" t="inlineStr">
        <is>
          <t>กลาง</t>
        </is>
      </c>
      <c r="L39" s="4" t="b">
        <v>0</v>
      </c>
      <c r="M39" s="4" t="inlineStr">
        <is>
          <t>ง</t>
        </is>
      </c>
      <c r="N39" s="4" t="inlineStr">
        <is>
          <t>ง</t>
        </is>
      </c>
      <c r="O39" s="4" t="b">
        <v>1</v>
      </c>
      <c r="P39" s="4" t="n">
        <v>1</v>
      </c>
      <c r="Q39" s="4" t="n">
        <v>38</v>
      </c>
      <c r="R39" s="4" t="n"/>
    </row>
    <row r="40">
      <c r="A40" s="13" t="n">
        <v>46338.63657407407</v>
      </c>
      <c r="B40" s="11" t="n">
        <v>46338</v>
      </c>
      <c r="C40" s="4" t="n">
        <v>1</v>
      </c>
      <c r="D40" s="4" t="inlineStr">
        <is>
          <t>U-DEMO-02</t>
        </is>
      </c>
      <c r="E40" s="4" t="inlineStr">
        <is>
          <t>สมหญิง รักอ่าน</t>
        </is>
      </c>
      <c r="F40" s="4" t="inlineStr">
        <is>
          <t>FAC</t>
        </is>
      </c>
      <c r="G40" s="4" t="n">
        <v>4</v>
      </c>
      <c r="H40" s="4" t="inlineStr">
        <is>
          <t>C1-002</t>
        </is>
      </c>
      <c r="I40" s="4" t="n">
        <v>1</v>
      </c>
      <c r="J40" s="4" t="n">
        <v>1</v>
      </c>
      <c r="K40" s="4" t="inlineStr">
        <is>
          <t>ง่าย</t>
        </is>
      </c>
      <c r="L40" s="4" t="b">
        <v>0</v>
      </c>
      <c r="M40" s="4" t="inlineStr">
        <is>
          <t>ข</t>
        </is>
      </c>
      <c r="N40" s="4" t="inlineStr">
        <is>
          <t>ก</t>
        </is>
      </c>
      <c r="O40" s="4" t="b">
        <v>0</v>
      </c>
      <c r="P40" s="4" t="n">
        <v>1</v>
      </c>
      <c r="Q40" s="4" t="n">
        <v>14</v>
      </c>
      <c r="R40" s="4" t="n"/>
    </row>
    <row r="41">
      <c r="A41" s="13" t="n">
        <v>46338.63703703704</v>
      </c>
      <c r="B41" s="11" t="n">
        <v>46338</v>
      </c>
      <c r="C41" s="4" t="n">
        <v>1</v>
      </c>
      <c r="D41" s="4" t="inlineStr">
        <is>
          <t>U-DEMO-02</t>
        </is>
      </c>
      <c r="E41" s="4" t="inlineStr">
        <is>
          <t>สมหญิง รักอ่าน</t>
        </is>
      </c>
      <c r="F41" s="4" t="inlineStr">
        <is>
          <t>FAC</t>
        </is>
      </c>
      <c r="G41" s="4" t="n">
        <v>5</v>
      </c>
      <c r="H41" s="4" t="inlineStr">
        <is>
          <t>C2-004</t>
        </is>
      </c>
      <c r="I41" s="4" t="n">
        <v>1</v>
      </c>
      <c r="J41" s="4" t="n">
        <v>2</v>
      </c>
      <c r="K41" s="4" t="inlineStr">
        <is>
          <t>กลาง</t>
        </is>
      </c>
      <c r="L41" s="4" t="b">
        <v>0</v>
      </c>
      <c r="M41" s="4" t="inlineStr">
        <is>
          <t>ข</t>
        </is>
      </c>
      <c r="N41" s="4" t="inlineStr">
        <is>
          <t>ข</t>
        </is>
      </c>
      <c r="O41" s="4" t="b">
        <v>1</v>
      </c>
      <c r="P41" s="4" t="n">
        <v>3</v>
      </c>
      <c r="Q41" s="4" t="n">
        <v>17</v>
      </c>
      <c r="R41" s="4" t="n"/>
    </row>
    <row r="42">
      <c r="A42" s="13" t="n">
        <v>46342.35393518519</v>
      </c>
      <c r="B42" s="11" t="n">
        <v>46342</v>
      </c>
      <c r="C42" s="4" t="n">
        <v>2</v>
      </c>
      <c r="D42" s="4" t="inlineStr">
        <is>
          <t>U-DEMO-02</t>
        </is>
      </c>
      <c r="E42" s="4" t="inlineStr">
        <is>
          <t>สมหญิง รักอ่าน</t>
        </is>
      </c>
      <c r="F42" s="4" t="inlineStr">
        <is>
          <t>FAC</t>
        </is>
      </c>
      <c r="G42" s="4" t="n">
        <v>1</v>
      </c>
      <c r="H42" s="4" t="inlineStr">
        <is>
          <t>C4-006</t>
        </is>
      </c>
      <c r="I42" s="4" t="n">
        <v>1</v>
      </c>
      <c r="J42" s="4" t="n">
        <v>4</v>
      </c>
      <c r="K42" s="4" t="inlineStr">
        <is>
          <t>ง่าย</t>
        </is>
      </c>
      <c r="L42" s="4" t="b">
        <v>0</v>
      </c>
      <c r="M42" s="4" t="inlineStr">
        <is>
          <t>ค</t>
        </is>
      </c>
      <c r="N42" s="4" t="inlineStr">
        <is>
          <t>ข</t>
        </is>
      </c>
      <c r="O42" s="4" t="b">
        <v>0</v>
      </c>
      <c r="P42" s="4" t="n">
        <v>1</v>
      </c>
      <c r="Q42" s="4" t="n">
        <v>42</v>
      </c>
      <c r="R42" s="4" t="n"/>
    </row>
    <row r="43">
      <c r="A43" s="13" t="n">
        <v>46342.35439814815</v>
      </c>
      <c r="B43" s="11" t="n">
        <v>46342</v>
      </c>
      <c r="C43" s="4" t="n">
        <v>2</v>
      </c>
      <c r="D43" s="4" t="inlineStr">
        <is>
          <t>U-DEMO-02</t>
        </is>
      </c>
      <c r="E43" s="4" t="inlineStr">
        <is>
          <t>สมหญิง รักอ่าน</t>
        </is>
      </c>
      <c r="F43" s="4" t="inlineStr">
        <is>
          <t>FAC</t>
        </is>
      </c>
      <c r="G43" s="4" t="n">
        <v>2</v>
      </c>
      <c r="H43" s="4" t="inlineStr">
        <is>
          <t>C4-012</t>
        </is>
      </c>
      <c r="I43" s="4" t="n">
        <v>1</v>
      </c>
      <c r="J43" s="4" t="n">
        <v>4</v>
      </c>
      <c r="K43" s="4" t="inlineStr">
        <is>
          <t>ง่าย</t>
        </is>
      </c>
      <c r="L43" s="4" t="b">
        <v>0</v>
      </c>
      <c r="M43" s="4" t="inlineStr">
        <is>
          <t>ค</t>
        </is>
      </c>
      <c r="N43" s="4" t="inlineStr">
        <is>
          <t>ก</t>
        </is>
      </c>
      <c r="O43" s="4" t="b">
        <v>0</v>
      </c>
      <c r="P43" s="4" t="n">
        <v>1</v>
      </c>
      <c r="Q43" s="4" t="n">
        <v>54</v>
      </c>
      <c r="R43" s="4" t="n"/>
    </row>
    <row r="44">
      <c r="A44" s="13" t="n">
        <v>46342.35486111111</v>
      </c>
      <c r="B44" s="11" t="n">
        <v>46342</v>
      </c>
      <c r="C44" s="4" t="n">
        <v>2</v>
      </c>
      <c r="D44" s="4" t="inlineStr">
        <is>
          <t>U-DEMO-02</t>
        </is>
      </c>
      <c r="E44" s="4" t="inlineStr">
        <is>
          <t>สมหญิง รักอ่าน</t>
        </is>
      </c>
      <c r="F44" s="4" t="inlineStr">
        <is>
          <t>FAC</t>
        </is>
      </c>
      <c r="G44" s="4" t="n">
        <v>3</v>
      </c>
      <c r="H44" s="4" t="inlineStr">
        <is>
          <t>C4-004</t>
        </is>
      </c>
      <c r="I44" s="4" t="n">
        <v>1</v>
      </c>
      <c r="J44" s="4" t="n">
        <v>4</v>
      </c>
      <c r="K44" s="4" t="inlineStr">
        <is>
          <t>กลาง</t>
        </is>
      </c>
      <c r="L44" s="4" t="b">
        <v>0</v>
      </c>
      <c r="M44" s="4" t="inlineStr">
        <is>
          <t>ข</t>
        </is>
      </c>
      <c r="N44" s="4" t="inlineStr">
        <is>
          <t>ข</t>
        </is>
      </c>
      <c r="O44" s="4" t="b">
        <v>1</v>
      </c>
      <c r="P44" s="4" t="n">
        <v>1</v>
      </c>
      <c r="Q44" s="4" t="n">
        <v>24</v>
      </c>
      <c r="R44" s="4" t="n"/>
    </row>
    <row r="45">
      <c r="A45" s="13" t="n">
        <v>46342.35532407407</v>
      </c>
      <c r="B45" s="11" t="n">
        <v>46342</v>
      </c>
      <c r="C45" s="4" t="n">
        <v>2</v>
      </c>
      <c r="D45" s="4" t="inlineStr">
        <is>
          <t>U-DEMO-02</t>
        </is>
      </c>
      <c r="E45" s="4" t="inlineStr">
        <is>
          <t>สมหญิง รักอ่าน</t>
        </is>
      </c>
      <c r="F45" s="4" t="inlineStr">
        <is>
          <t>FAC</t>
        </is>
      </c>
      <c r="G45" s="4" t="n">
        <v>4</v>
      </c>
      <c r="H45" s="4" t="inlineStr">
        <is>
          <t>C3-001</t>
        </is>
      </c>
      <c r="I45" s="4" t="n">
        <v>1</v>
      </c>
      <c r="J45" s="4" t="n">
        <v>3</v>
      </c>
      <c r="K45" s="4" t="inlineStr">
        <is>
          <t>ง่าย</t>
        </is>
      </c>
      <c r="L45" s="4" t="b">
        <v>0</v>
      </c>
      <c r="M45" s="4" t="inlineStr">
        <is>
          <t>ข</t>
        </is>
      </c>
      <c r="N45" s="4" t="inlineStr">
        <is>
          <t>ก</t>
        </is>
      </c>
      <c r="O45" s="4" t="b">
        <v>0</v>
      </c>
      <c r="P45" s="4" t="n">
        <v>1</v>
      </c>
      <c r="Q45" s="4" t="n">
        <v>15</v>
      </c>
      <c r="R45" s="4" t="n"/>
    </row>
    <row r="46">
      <c r="A46" s="13" t="n">
        <v>46342.35578703704</v>
      </c>
      <c r="B46" s="11" t="n">
        <v>46342</v>
      </c>
      <c r="C46" s="4" t="n">
        <v>2</v>
      </c>
      <c r="D46" s="4" t="inlineStr">
        <is>
          <t>U-DEMO-02</t>
        </is>
      </c>
      <c r="E46" s="4" t="inlineStr">
        <is>
          <t>สมหญิง รักอ่าน</t>
        </is>
      </c>
      <c r="F46" s="4" t="inlineStr">
        <is>
          <t>FAC</t>
        </is>
      </c>
      <c r="G46" s="4" t="n">
        <v>5</v>
      </c>
      <c r="H46" s="4" t="inlineStr">
        <is>
          <t>C3-003</t>
        </is>
      </c>
      <c r="I46" s="4" t="n">
        <v>1</v>
      </c>
      <c r="J46" s="4" t="n">
        <v>3</v>
      </c>
      <c r="K46" s="4" t="inlineStr">
        <is>
          <t>กลาง</t>
        </is>
      </c>
      <c r="L46" s="4" t="b">
        <v>0</v>
      </c>
      <c r="M46" s="4" t="inlineStr">
        <is>
          <t>ก</t>
        </is>
      </c>
      <c r="N46" s="4" t="inlineStr">
        <is>
          <t>ก</t>
        </is>
      </c>
      <c r="O46" s="4" t="b">
        <v>1</v>
      </c>
      <c r="P46" s="4" t="n">
        <v>1</v>
      </c>
      <c r="Q46" s="4" t="n">
        <v>35</v>
      </c>
      <c r="R46" s="4" t="n"/>
    </row>
    <row r="47">
      <c r="A47" s="13" t="n">
        <v>46336.4587962963</v>
      </c>
      <c r="B47" s="11" t="n">
        <v>46336</v>
      </c>
      <c r="C47" s="4" t="n">
        <v>1</v>
      </c>
      <c r="D47" s="4" t="inlineStr">
        <is>
          <t>U-DEMO-03</t>
        </is>
      </c>
      <c r="E47" s="4" t="inlineStr">
        <is>
          <t>วีระ กล้าหาญ</t>
        </is>
      </c>
      <c r="F47" s="4" t="inlineStr">
        <is>
          <t>WH</t>
        </is>
      </c>
      <c r="G47" s="4" t="n">
        <v>1</v>
      </c>
      <c r="H47" s="4" t="inlineStr">
        <is>
          <t>C1-007</t>
        </is>
      </c>
      <c r="I47" s="4" t="n">
        <v>1</v>
      </c>
      <c r="J47" s="4" t="n">
        <v>1</v>
      </c>
      <c r="K47" s="4" t="inlineStr">
        <is>
          <t>ง่าย</t>
        </is>
      </c>
      <c r="L47" s="4" t="b">
        <v>1</v>
      </c>
      <c r="M47" s="4" t="inlineStr">
        <is>
          <t>ก</t>
        </is>
      </c>
      <c r="N47" s="4" t="inlineStr">
        <is>
          <t>ก</t>
        </is>
      </c>
      <c r="O47" s="4" t="b">
        <v>1</v>
      </c>
      <c r="P47" s="4" t="n">
        <v>1</v>
      </c>
      <c r="Q47" s="4" t="n">
        <v>18</v>
      </c>
      <c r="R47" s="4" t="n"/>
    </row>
    <row r="48">
      <c r="A48" s="13" t="n">
        <v>46336.45925925926</v>
      </c>
      <c r="B48" s="11" t="n">
        <v>46336</v>
      </c>
      <c r="C48" s="4" t="n">
        <v>1</v>
      </c>
      <c r="D48" s="4" t="inlineStr">
        <is>
          <t>U-DEMO-03</t>
        </is>
      </c>
      <c r="E48" s="4" t="inlineStr">
        <is>
          <t>วีระ กล้าหาญ</t>
        </is>
      </c>
      <c r="F48" s="4" t="inlineStr">
        <is>
          <t>WH</t>
        </is>
      </c>
      <c r="G48" s="4" t="n">
        <v>2</v>
      </c>
      <c r="H48" s="4" t="inlineStr">
        <is>
          <t>C1-012</t>
        </is>
      </c>
      <c r="I48" s="4" t="n">
        <v>1</v>
      </c>
      <c r="J48" s="4" t="n">
        <v>1</v>
      </c>
      <c r="K48" s="4" t="inlineStr">
        <is>
          <t>ง่าย</t>
        </is>
      </c>
      <c r="L48" s="4" t="b">
        <v>0</v>
      </c>
      <c r="M48" s="4" t="inlineStr">
        <is>
          <t>ก</t>
        </is>
      </c>
      <c r="N48" s="4" t="inlineStr">
        <is>
          <t>ง</t>
        </is>
      </c>
      <c r="O48" s="4" t="b">
        <v>0</v>
      </c>
      <c r="P48" s="4" t="n">
        <v>1</v>
      </c>
      <c r="Q48" s="4" t="n">
        <v>28</v>
      </c>
      <c r="R48" s="4" t="n"/>
    </row>
    <row r="49">
      <c r="A49" s="13" t="n">
        <v>46336.45972222222</v>
      </c>
      <c r="B49" s="11" t="n">
        <v>46336</v>
      </c>
      <c r="C49" s="4" t="n">
        <v>1</v>
      </c>
      <c r="D49" s="4" t="inlineStr">
        <is>
          <t>U-DEMO-03</t>
        </is>
      </c>
      <c r="E49" s="4" t="inlineStr">
        <is>
          <t>วีระ กล้าหาญ</t>
        </is>
      </c>
      <c r="F49" s="4" t="inlineStr">
        <is>
          <t>WH</t>
        </is>
      </c>
      <c r="G49" s="4" t="n">
        <v>3</v>
      </c>
      <c r="H49" s="4" t="inlineStr">
        <is>
          <t>C2-009</t>
        </is>
      </c>
      <c r="I49" s="4" t="n">
        <v>1</v>
      </c>
      <c r="J49" s="4" t="n">
        <v>2</v>
      </c>
      <c r="K49" s="4" t="inlineStr">
        <is>
          <t>กลาง</t>
        </is>
      </c>
      <c r="L49" s="4" t="b">
        <v>0</v>
      </c>
      <c r="M49" s="4" t="inlineStr">
        <is>
          <t>ค</t>
        </is>
      </c>
      <c r="N49" s="4" t="inlineStr">
        <is>
          <t>ค</t>
        </is>
      </c>
      <c r="O49" s="4" t="b">
        <v>1</v>
      </c>
      <c r="P49" s="4" t="n">
        <v>1</v>
      </c>
      <c r="Q49" s="4" t="n">
        <v>50</v>
      </c>
      <c r="R49" s="4" t="n"/>
    </row>
    <row r="50">
      <c r="A50" s="13" t="n">
        <v>46336.46018518518</v>
      </c>
      <c r="B50" s="11" t="n">
        <v>46336</v>
      </c>
      <c r="C50" s="4" t="n">
        <v>1</v>
      </c>
      <c r="D50" s="4" t="inlineStr">
        <is>
          <t>U-DEMO-03</t>
        </is>
      </c>
      <c r="E50" s="4" t="inlineStr">
        <is>
          <t>วีระ กล้าหาญ</t>
        </is>
      </c>
      <c r="F50" s="4" t="inlineStr">
        <is>
          <t>WH</t>
        </is>
      </c>
      <c r="G50" s="4" t="n">
        <v>4</v>
      </c>
      <c r="H50" s="4" t="inlineStr">
        <is>
          <t>C1-003</t>
        </is>
      </c>
      <c r="I50" s="4" t="n">
        <v>1</v>
      </c>
      <c r="J50" s="4" t="n">
        <v>1</v>
      </c>
      <c r="K50" s="4" t="inlineStr">
        <is>
          <t>กลาง</t>
        </is>
      </c>
      <c r="L50" s="4" t="b">
        <v>0</v>
      </c>
      <c r="M50" s="4" t="inlineStr">
        <is>
          <t>ง</t>
        </is>
      </c>
      <c r="N50" s="4" t="inlineStr">
        <is>
          <t>ก</t>
        </is>
      </c>
      <c r="O50" s="4" t="b">
        <v>0</v>
      </c>
      <c r="P50" s="4" t="n">
        <v>1</v>
      </c>
      <c r="Q50" s="4" t="n">
        <v>29</v>
      </c>
      <c r="R50" s="4" t="n"/>
    </row>
    <row r="51">
      <c r="A51" s="13" t="n">
        <v>46336.46064814815</v>
      </c>
      <c r="B51" s="11" t="n">
        <v>46336</v>
      </c>
      <c r="C51" s="4" t="n">
        <v>1</v>
      </c>
      <c r="D51" s="4" t="inlineStr">
        <is>
          <t>U-DEMO-03</t>
        </is>
      </c>
      <c r="E51" s="4" t="inlineStr">
        <is>
          <t>วีระ กล้าหาญ</t>
        </is>
      </c>
      <c r="F51" s="4" t="inlineStr">
        <is>
          <t>WH</t>
        </is>
      </c>
      <c r="G51" s="4" t="n">
        <v>5</v>
      </c>
      <c r="H51" s="4" t="inlineStr">
        <is>
          <t>C1-008</t>
        </is>
      </c>
      <c r="I51" s="4" t="n">
        <v>1</v>
      </c>
      <c r="J51" s="4" t="n">
        <v>1</v>
      </c>
      <c r="K51" s="4" t="inlineStr">
        <is>
          <t>กลาง</t>
        </is>
      </c>
      <c r="L51" s="4" t="b">
        <v>0</v>
      </c>
      <c r="M51" s="4" t="inlineStr">
        <is>
          <t>ก</t>
        </is>
      </c>
      <c r="N51" s="4" t="inlineStr">
        <is>
          <t>ก</t>
        </is>
      </c>
      <c r="O51" s="4" t="b">
        <v>1</v>
      </c>
      <c r="P51" s="4" t="n">
        <v>1</v>
      </c>
      <c r="Q51" s="4" t="n">
        <v>23</v>
      </c>
      <c r="R51" s="4" t="n"/>
    </row>
    <row r="52">
      <c r="A52" s="13" t="n">
        <v>46337.72268518519</v>
      </c>
      <c r="B52" s="11" t="n">
        <v>46337</v>
      </c>
      <c r="C52" s="4" t="n">
        <v>1</v>
      </c>
      <c r="D52" s="4" t="inlineStr">
        <is>
          <t>U-DEMO-03</t>
        </is>
      </c>
      <c r="E52" s="4" t="inlineStr">
        <is>
          <t>วีระ กล้าหาญ</t>
        </is>
      </c>
      <c r="F52" s="4" t="inlineStr">
        <is>
          <t>WH</t>
        </is>
      </c>
      <c r="G52" s="4" t="n">
        <v>1</v>
      </c>
      <c r="H52" s="4" t="inlineStr">
        <is>
          <t>C1-012</t>
        </is>
      </c>
      <c r="I52" s="4" t="n">
        <v>1</v>
      </c>
      <c r="J52" s="4" t="n">
        <v>1</v>
      </c>
      <c r="K52" s="4" t="inlineStr">
        <is>
          <t>ง่าย</t>
        </is>
      </c>
      <c r="L52" s="4" t="b">
        <v>0</v>
      </c>
      <c r="M52" s="4" t="inlineStr">
        <is>
          <t>ค</t>
        </is>
      </c>
      <c r="N52" s="4" t="inlineStr">
        <is>
          <t>ค</t>
        </is>
      </c>
      <c r="O52" s="4" t="b">
        <v>1</v>
      </c>
      <c r="P52" s="4" t="n">
        <v>2</v>
      </c>
      <c r="Q52" s="4" t="n">
        <v>37</v>
      </c>
      <c r="R52" s="4" t="n"/>
    </row>
    <row r="53">
      <c r="A53" s="13" t="n">
        <v>46337.72314814815</v>
      </c>
      <c r="B53" s="11" t="n">
        <v>46337</v>
      </c>
      <c r="C53" s="4" t="n">
        <v>1</v>
      </c>
      <c r="D53" s="4" t="inlineStr">
        <is>
          <t>U-DEMO-03</t>
        </is>
      </c>
      <c r="E53" s="4" t="inlineStr">
        <is>
          <t>วีระ กล้าหาญ</t>
        </is>
      </c>
      <c r="F53" s="4" t="inlineStr">
        <is>
          <t>WH</t>
        </is>
      </c>
      <c r="G53" s="4" t="n">
        <v>2</v>
      </c>
      <c r="H53" s="4" t="inlineStr">
        <is>
          <t>C1-003</t>
        </is>
      </c>
      <c r="I53" s="4" t="n">
        <v>1</v>
      </c>
      <c r="J53" s="4" t="n">
        <v>1</v>
      </c>
      <c r="K53" s="4" t="inlineStr">
        <is>
          <t>กลาง</t>
        </is>
      </c>
      <c r="L53" s="4" t="b">
        <v>0</v>
      </c>
      <c r="M53" s="4" t="inlineStr">
        <is>
          <t>ก</t>
        </is>
      </c>
      <c r="N53" s="4" t="inlineStr">
        <is>
          <t>ก</t>
        </is>
      </c>
      <c r="O53" s="4" t="b">
        <v>1</v>
      </c>
      <c r="P53" s="4" t="n">
        <v>2</v>
      </c>
      <c r="Q53" s="4" t="n">
        <v>29</v>
      </c>
      <c r="R53" s="4" t="n"/>
    </row>
    <row r="54">
      <c r="A54" s="13" t="n">
        <v>46337.72361111111</v>
      </c>
      <c r="B54" s="11" t="n">
        <v>46337</v>
      </c>
      <c r="C54" s="4" t="n">
        <v>1</v>
      </c>
      <c r="D54" s="4" t="inlineStr">
        <is>
          <t>U-DEMO-03</t>
        </is>
      </c>
      <c r="E54" s="4" t="inlineStr">
        <is>
          <t>วีระ กล้าหาญ</t>
        </is>
      </c>
      <c r="F54" s="4" t="inlineStr">
        <is>
          <t>WH</t>
        </is>
      </c>
      <c r="G54" s="4" t="n">
        <v>3</v>
      </c>
      <c r="H54" s="4" t="inlineStr">
        <is>
          <t>C1-001</t>
        </is>
      </c>
      <c r="I54" s="4" t="n">
        <v>1</v>
      </c>
      <c r="J54" s="4" t="n">
        <v>1</v>
      </c>
      <c r="K54" s="4" t="inlineStr">
        <is>
          <t>ง่าย</t>
        </is>
      </c>
      <c r="L54" s="4" t="b">
        <v>0</v>
      </c>
      <c r="M54" s="4" t="inlineStr">
        <is>
          <t>ง</t>
        </is>
      </c>
      <c r="N54" s="4" t="inlineStr">
        <is>
          <t>ง</t>
        </is>
      </c>
      <c r="O54" s="4" t="b">
        <v>1</v>
      </c>
      <c r="P54" s="4" t="n">
        <v>1</v>
      </c>
      <c r="Q54" s="4" t="n">
        <v>51</v>
      </c>
      <c r="R54" s="4" t="n"/>
    </row>
    <row r="55">
      <c r="A55" s="13" t="n">
        <v>46337.72407407407</v>
      </c>
      <c r="B55" s="11" t="n">
        <v>46337</v>
      </c>
      <c r="C55" s="4" t="n">
        <v>1</v>
      </c>
      <c r="D55" s="4" t="inlineStr">
        <is>
          <t>U-DEMO-03</t>
        </is>
      </c>
      <c r="E55" s="4" t="inlineStr">
        <is>
          <t>วีระ กล้าหาญ</t>
        </is>
      </c>
      <c r="F55" s="4" t="inlineStr">
        <is>
          <t>WH</t>
        </is>
      </c>
      <c r="G55" s="4" t="n">
        <v>4</v>
      </c>
      <c r="H55" s="4" t="inlineStr">
        <is>
          <t>C1-010</t>
        </is>
      </c>
      <c r="I55" s="4" t="n">
        <v>1</v>
      </c>
      <c r="J55" s="4" t="n">
        <v>1</v>
      </c>
      <c r="K55" s="4" t="inlineStr">
        <is>
          <t>ยาก</t>
        </is>
      </c>
      <c r="L55" s="4" t="b">
        <v>0</v>
      </c>
      <c r="M55" s="4" t="inlineStr">
        <is>
          <t>ข</t>
        </is>
      </c>
      <c r="N55" s="4" t="inlineStr">
        <is>
          <t>ง</t>
        </is>
      </c>
      <c r="O55" s="4" t="b">
        <v>0</v>
      </c>
      <c r="P55" s="4" t="n">
        <v>1</v>
      </c>
      <c r="Q55" s="4" t="n">
        <v>36</v>
      </c>
      <c r="R55" s="4" t="n"/>
    </row>
    <row r="56">
      <c r="A56" s="13" t="n">
        <v>46337.72453703704</v>
      </c>
      <c r="B56" s="11" t="n">
        <v>46337</v>
      </c>
      <c r="C56" s="4" t="n">
        <v>1</v>
      </c>
      <c r="D56" s="4" t="inlineStr">
        <is>
          <t>U-DEMO-03</t>
        </is>
      </c>
      <c r="E56" s="4" t="inlineStr">
        <is>
          <t>วีระ กล้าหาญ</t>
        </is>
      </c>
      <c r="F56" s="4" t="inlineStr">
        <is>
          <t>WH</t>
        </is>
      </c>
      <c r="G56" s="4" t="n">
        <v>5</v>
      </c>
      <c r="H56" s="4" t="inlineStr">
        <is>
          <t>C1-004</t>
        </is>
      </c>
      <c r="I56" s="4" t="n">
        <v>1</v>
      </c>
      <c r="J56" s="4" t="n">
        <v>1</v>
      </c>
      <c r="K56" s="4" t="inlineStr">
        <is>
          <t>กลาง</t>
        </is>
      </c>
      <c r="L56" s="4" t="b">
        <v>0</v>
      </c>
      <c r="M56" s="4" t="inlineStr">
        <is>
          <t>ง</t>
        </is>
      </c>
      <c r="N56" s="4" t="inlineStr">
        <is>
          <t>ง</t>
        </is>
      </c>
      <c r="O56" s="4" t="b">
        <v>1</v>
      </c>
      <c r="P56" s="4" t="n">
        <v>1</v>
      </c>
      <c r="Q56" s="4" t="n">
        <v>15</v>
      </c>
      <c r="R56" s="4" t="n"/>
    </row>
    <row r="57">
      <c r="A57" s="13" t="n">
        <v>46338.73518518519</v>
      </c>
      <c r="B57" s="11" t="n">
        <v>46338</v>
      </c>
      <c r="C57" s="4" t="n">
        <v>1</v>
      </c>
      <c r="D57" s="4" t="inlineStr">
        <is>
          <t>U-DEMO-03</t>
        </is>
      </c>
      <c r="E57" s="4" t="inlineStr">
        <is>
          <t>วีระ กล้าหาญ</t>
        </is>
      </c>
      <c r="F57" s="4" t="inlineStr">
        <is>
          <t>WH</t>
        </is>
      </c>
      <c r="G57" s="4" t="n">
        <v>1</v>
      </c>
      <c r="H57" s="4" t="inlineStr">
        <is>
          <t>C1-010</t>
        </is>
      </c>
      <c r="I57" s="4" t="n">
        <v>1</v>
      </c>
      <c r="J57" s="4" t="n">
        <v>1</v>
      </c>
      <c r="K57" s="4" t="inlineStr">
        <is>
          <t>ยาก</t>
        </is>
      </c>
      <c r="L57" s="4" t="b">
        <v>0</v>
      </c>
      <c r="M57" s="4" t="inlineStr">
        <is>
          <t>ก</t>
        </is>
      </c>
      <c r="N57" s="4" t="inlineStr">
        <is>
          <t>ง</t>
        </is>
      </c>
      <c r="O57" s="4" t="b">
        <v>0</v>
      </c>
      <c r="P57" s="4" t="n">
        <v>2</v>
      </c>
      <c r="Q57" s="4" t="n">
        <v>46</v>
      </c>
      <c r="R57" s="4" t="n"/>
    </row>
    <row r="58">
      <c r="A58" s="13" t="n">
        <v>46338.73564814815</v>
      </c>
      <c r="B58" s="11" t="n">
        <v>46338</v>
      </c>
      <c r="C58" s="4" t="n">
        <v>1</v>
      </c>
      <c r="D58" s="4" t="inlineStr">
        <is>
          <t>U-DEMO-03</t>
        </is>
      </c>
      <c r="E58" s="4" t="inlineStr">
        <is>
          <t>วีระ กล้าหาญ</t>
        </is>
      </c>
      <c r="F58" s="4" t="inlineStr">
        <is>
          <t>WH</t>
        </is>
      </c>
      <c r="G58" s="4" t="n">
        <v>2</v>
      </c>
      <c r="H58" s="4" t="inlineStr">
        <is>
          <t>C1-001</t>
        </is>
      </c>
      <c r="I58" s="4" t="n">
        <v>1</v>
      </c>
      <c r="J58" s="4" t="n">
        <v>1</v>
      </c>
      <c r="K58" s="4" t="inlineStr">
        <is>
          <t>ง่าย</t>
        </is>
      </c>
      <c r="L58" s="4" t="b">
        <v>0</v>
      </c>
      <c r="M58" s="4" t="inlineStr">
        <is>
          <t>ข</t>
        </is>
      </c>
      <c r="N58" s="4" t="inlineStr">
        <is>
          <t>ก</t>
        </is>
      </c>
      <c r="O58" s="4" t="b">
        <v>0</v>
      </c>
      <c r="P58" s="4" t="n">
        <v>2</v>
      </c>
      <c r="Q58" s="4" t="n">
        <v>54</v>
      </c>
      <c r="R58" s="4" t="n"/>
    </row>
    <row r="59">
      <c r="A59" s="13" t="n">
        <v>46338.73611111111</v>
      </c>
      <c r="B59" s="11" t="n">
        <v>46338</v>
      </c>
      <c r="C59" s="4" t="n">
        <v>1</v>
      </c>
      <c r="D59" s="4" t="inlineStr">
        <is>
          <t>U-DEMO-03</t>
        </is>
      </c>
      <c r="E59" s="4" t="inlineStr">
        <is>
          <t>วีระ กล้าหาญ</t>
        </is>
      </c>
      <c r="F59" s="4" t="inlineStr">
        <is>
          <t>WH</t>
        </is>
      </c>
      <c r="G59" s="4" t="n">
        <v>3</v>
      </c>
      <c r="H59" s="4" t="inlineStr">
        <is>
          <t>C1-007</t>
        </is>
      </c>
      <c r="I59" s="4" t="n">
        <v>1</v>
      </c>
      <c r="J59" s="4" t="n">
        <v>1</v>
      </c>
      <c r="K59" s="4" t="inlineStr">
        <is>
          <t>ง่าย</t>
        </is>
      </c>
      <c r="L59" s="4" t="b">
        <v>1</v>
      </c>
      <c r="M59" s="4" t="inlineStr">
        <is>
          <t>ง</t>
        </is>
      </c>
      <c r="N59" s="4" t="inlineStr">
        <is>
          <t>ง</t>
        </is>
      </c>
      <c r="O59" s="4" t="b">
        <v>1</v>
      </c>
      <c r="P59" s="4" t="n">
        <v>2</v>
      </c>
      <c r="Q59" s="4" t="n">
        <v>26</v>
      </c>
      <c r="R59" s="4" t="n"/>
    </row>
    <row r="60">
      <c r="A60" s="13" t="n">
        <v>46338.73657407407</v>
      </c>
      <c r="B60" s="11" t="n">
        <v>46338</v>
      </c>
      <c r="C60" s="4" t="n">
        <v>1</v>
      </c>
      <c r="D60" s="4" t="inlineStr">
        <is>
          <t>U-DEMO-03</t>
        </is>
      </c>
      <c r="E60" s="4" t="inlineStr">
        <is>
          <t>วีระ กล้าหาญ</t>
        </is>
      </c>
      <c r="F60" s="4" t="inlineStr">
        <is>
          <t>WH</t>
        </is>
      </c>
      <c r="G60" s="4" t="n">
        <v>4</v>
      </c>
      <c r="H60" s="4" t="inlineStr">
        <is>
          <t>C2-011</t>
        </is>
      </c>
      <c r="I60" s="4" t="n">
        <v>1</v>
      </c>
      <c r="J60" s="4" t="n">
        <v>2</v>
      </c>
      <c r="K60" s="4" t="inlineStr">
        <is>
          <t>ง่าย</t>
        </is>
      </c>
      <c r="L60" s="4" t="b">
        <v>0</v>
      </c>
      <c r="M60" s="4" t="inlineStr">
        <is>
          <t>ง</t>
        </is>
      </c>
      <c r="N60" s="4" t="inlineStr">
        <is>
          <t>ค</t>
        </is>
      </c>
      <c r="O60" s="4" t="b">
        <v>0</v>
      </c>
      <c r="P60" s="4" t="n">
        <v>1</v>
      </c>
      <c r="Q60" s="4" t="n">
        <v>44</v>
      </c>
      <c r="R60" s="4" t="n"/>
    </row>
    <row r="61">
      <c r="A61" s="13" t="n">
        <v>46338.73703703703</v>
      </c>
      <c r="B61" s="11" t="n">
        <v>46338</v>
      </c>
      <c r="C61" s="4" t="n">
        <v>1</v>
      </c>
      <c r="D61" s="4" t="inlineStr">
        <is>
          <t>U-DEMO-03</t>
        </is>
      </c>
      <c r="E61" s="4" t="inlineStr">
        <is>
          <t>วีระ กล้าหาญ</t>
        </is>
      </c>
      <c r="F61" s="4" t="inlineStr">
        <is>
          <t>WH</t>
        </is>
      </c>
      <c r="G61" s="4" t="n">
        <v>5</v>
      </c>
      <c r="H61" s="4" t="inlineStr">
        <is>
          <t>C1-012</t>
        </is>
      </c>
      <c r="I61" s="4" t="n">
        <v>1</v>
      </c>
      <c r="J61" s="4" t="n">
        <v>1</v>
      </c>
      <c r="K61" s="4" t="inlineStr">
        <is>
          <t>ง่าย</t>
        </is>
      </c>
      <c r="L61" s="4" t="b">
        <v>0</v>
      </c>
      <c r="M61" s="4" t="inlineStr">
        <is>
          <t>ก</t>
        </is>
      </c>
      <c r="N61" s="4" t="inlineStr">
        <is>
          <t>ก</t>
        </is>
      </c>
      <c r="O61" s="4" t="b">
        <v>1</v>
      </c>
      <c r="P61" s="4" t="n">
        <v>3</v>
      </c>
      <c r="Q61" s="4" t="n">
        <v>30</v>
      </c>
      <c r="R61" s="4" t="n"/>
    </row>
    <row r="62">
      <c r="A62" s="13" t="n">
        <v>46342.54907407407</v>
      </c>
      <c r="B62" s="11" t="n">
        <v>46342</v>
      </c>
      <c r="C62" s="4" t="n">
        <v>2</v>
      </c>
      <c r="D62" s="4" t="inlineStr">
        <is>
          <t>U-DEMO-03</t>
        </is>
      </c>
      <c r="E62" s="4" t="inlineStr">
        <is>
          <t>วีระ กล้าหาญ</t>
        </is>
      </c>
      <c r="F62" s="4" t="inlineStr">
        <is>
          <t>WH</t>
        </is>
      </c>
      <c r="G62" s="4" t="n">
        <v>1</v>
      </c>
      <c r="H62" s="4" t="inlineStr">
        <is>
          <t>C3-007</t>
        </is>
      </c>
      <c r="I62" s="4" t="n">
        <v>1</v>
      </c>
      <c r="J62" s="4" t="n">
        <v>3</v>
      </c>
      <c r="K62" s="4" t="inlineStr">
        <is>
          <t>ง่าย</t>
        </is>
      </c>
      <c r="L62" s="4" t="b">
        <v>1</v>
      </c>
      <c r="M62" s="4" t="inlineStr">
        <is>
          <t>ค</t>
        </is>
      </c>
      <c r="N62" s="4" t="inlineStr">
        <is>
          <t>ง</t>
        </is>
      </c>
      <c r="O62" s="4" t="b">
        <v>0</v>
      </c>
      <c r="P62" s="4" t="n">
        <v>1</v>
      </c>
      <c r="Q62" s="4" t="n">
        <v>37</v>
      </c>
      <c r="R62" s="4" t="n"/>
    </row>
    <row r="63">
      <c r="A63" s="13" t="n">
        <v>46342.54953703703</v>
      </c>
      <c r="B63" s="11" t="n">
        <v>46342</v>
      </c>
      <c r="C63" s="4" t="n">
        <v>2</v>
      </c>
      <c r="D63" s="4" t="inlineStr">
        <is>
          <t>U-DEMO-03</t>
        </is>
      </c>
      <c r="E63" s="4" t="inlineStr">
        <is>
          <t>วีระ กล้าหาญ</t>
        </is>
      </c>
      <c r="F63" s="4" t="inlineStr">
        <is>
          <t>WH</t>
        </is>
      </c>
      <c r="G63" s="4" t="n">
        <v>2</v>
      </c>
      <c r="H63" s="4" t="inlineStr">
        <is>
          <t>C3-003</t>
        </is>
      </c>
      <c r="I63" s="4" t="n">
        <v>1</v>
      </c>
      <c r="J63" s="4" t="n">
        <v>3</v>
      </c>
      <c r="K63" s="4" t="inlineStr">
        <is>
          <t>กลาง</t>
        </is>
      </c>
      <c r="L63" s="4" t="b">
        <v>0</v>
      </c>
      <c r="M63" s="4" t="inlineStr">
        <is>
          <t>ข</t>
        </is>
      </c>
      <c r="N63" s="4" t="inlineStr">
        <is>
          <t>ข</t>
        </is>
      </c>
      <c r="O63" s="4" t="b">
        <v>1</v>
      </c>
      <c r="P63" s="4" t="n">
        <v>1</v>
      </c>
      <c r="Q63" s="4" t="n">
        <v>44</v>
      </c>
      <c r="R63" s="4" t="n"/>
    </row>
    <row r="64">
      <c r="A64" s="13" t="n">
        <v>46342.55</v>
      </c>
      <c r="B64" s="11" t="n">
        <v>46342</v>
      </c>
      <c r="C64" s="4" t="n">
        <v>2</v>
      </c>
      <c r="D64" s="4" t="inlineStr">
        <is>
          <t>U-DEMO-03</t>
        </is>
      </c>
      <c r="E64" s="4" t="inlineStr">
        <is>
          <t>วีระ กล้าหาญ</t>
        </is>
      </c>
      <c r="F64" s="4" t="inlineStr">
        <is>
          <t>WH</t>
        </is>
      </c>
      <c r="G64" s="4" t="n">
        <v>3</v>
      </c>
      <c r="H64" s="4" t="inlineStr">
        <is>
          <t>C3-008</t>
        </is>
      </c>
      <c r="I64" s="4" t="n">
        <v>1</v>
      </c>
      <c r="J64" s="4" t="n">
        <v>3</v>
      </c>
      <c r="K64" s="4" t="inlineStr">
        <is>
          <t>กลาง</t>
        </is>
      </c>
      <c r="L64" s="4" t="b">
        <v>0</v>
      </c>
      <c r="M64" s="4" t="inlineStr">
        <is>
          <t>ข</t>
        </is>
      </c>
      <c r="N64" s="4" t="inlineStr">
        <is>
          <t>ค</t>
        </is>
      </c>
      <c r="O64" s="4" t="b">
        <v>0</v>
      </c>
      <c r="P64" s="4" t="n">
        <v>1</v>
      </c>
      <c r="Q64" s="4" t="n">
        <v>24</v>
      </c>
      <c r="R64" s="4" t="n"/>
    </row>
    <row r="65">
      <c r="A65" s="13" t="n">
        <v>46342.55046296296</v>
      </c>
      <c r="B65" s="11" t="n">
        <v>46342</v>
      </c>
      <c r="C65" s="4" t="n">
        <v>2</v>
      </c>
      <c r="D65" s="4" t="inlineStr">
        <is>
          <t>U-DEMO-03</t>
        </is>
      </c>
      <c r="E65" s="4" t="inlineStr">
        <is>
          <t>วีระ กล้าหาญ</t>
        </is>
      </c>
      <c r="F65" s="4" t="inlineStr">
        <is>
          <t>WH</t>
        </is>
      </c>
      <c r="G65" s="4" t="n">
        <v>4</v>
      </c>
      <c r="H65" s="4" t="inlineStr">
        <is>
          <t>C3-001</t>
        </is>
      </c>
      <c r="I65" s="4" t="n">
        <v>1</v>
      </c>
      <c r="J65" s="4" t="n">
        <v>3</v>
      </c>
      <c r="K65" s="4" t="inlineStr">
        <is>
          <t>ง่าย</t>
        </is>
      </c>
      <c r="L65" s="4" t="b">
        <v>0</v>
      </c>
      <c r="M65" s="4" t="inlineStr">
        <is>
          <t>ง</t>
        </is>
      </c>
      <c r="N65" s="4" t="inlineStr">
        <is>
          <t>ง</t>
        </is>
      </c>
      <c r="O65" s="4" t="b">
        <v>1</v>
      </c>
      <c r="P65" s="4" t="n">
        <v>1</v>
      </c>
      <c r="Q65" s="4" t="n">
        <v>48</v>
      </c>
      <c r="R65" s="4" t="n"/>
    </row>
    <row r="66">
      <c r="A66" s="13" t="n">
        <v>46342.55092592593</v>
      </c>
      <c r="B66" s="11" t="n">
        <v>46342</v>
      </c>
      <c r="C66" s="4" t="n">
        <v>2</v>
      </c>
      <c r="D66" s="4" t="inlineStr">
        <is>
          <t>U-DEMO-03</t>
        </is>
      </c>
      <c r="E66" s="4" t="inlineStr">
        <is>
          <t>วีระ กล้าหาญ</t>
        </is>
      </c>
      <c r="F66" s="4" t="inlineStr">
        <is>
          <t>WH</t>
        </is>
      </c>
      <c r="G66" s="4" t="n">
        <v>5</v>
      </c>
      <c r="H66" s="4" t="inlineStr">
        <is>
          <t>C3-011</t>
        </is>
      </c>
      <c r="I66" s="4" t="n">
        <v>1</v>
      </c>
      <c r="J66" s="4" t="n">
        <v>3</v>
      </c>
      <c r="K66" s="4" t="inlineStr">
        <is>
          <t>ง่าย</t>
        </is>
      </c>
      <c r="L66" s="4" t="b">
        <v>0</v>
      </c>
      <c r="M66" s="4" t="inlineStr">
        <is>
          <t>ข</t>
        </is>
      </c>
      <c r="N66" s="4" t="inlineStr">
        <is>
          <t>ข</t>
        </is>
      </c>
      <c r="O66" s="4" t="b">
        <v>1</v>
      </c>
      <c r="P66" s="4" t="n">
        <v>1</v>
      </c>
      <c r="Q66" s="4" t="n">
        <v>48</v>
      </c>
      <c r="R66" s="4" t="n"/>
    </row>
    <row r="67">
      <c r="A67" s="13" t="n">
        <v>46336.65532407408</v>
      </c>
      <c r="B67" s="11" t="n">
        <v>46336</v>
      </c>
      <c r="C67" s="4" t="n">
        <v>1</v>
      </c>
      <c r="D67" s="4" t="inlineStr">
        <is>
          <t>U-DEMO-04</t>
        </is>
      </c>
      <c r="E67" s="4" t="inlineStr">
        <is>
          <t>มาลี ตั้งใจ</t>
        </is>
      </c>
      <c r="F67" s="4" t="inlineStr">
        <is>
          <t>WH</t>
        </is>
      </c>
      <c r="G67" s="4" t="n">
        <v>1</v>
      </c>
      <c r="H67" s="4" t="inlineStr">
        <is>
          <t>C2-010</t>
        </is>
      </c>
      <c r="I67" s="4" t="n">
        <v>1</v>
      </c>
      <c r="J67" s="4" t="n">
        <v>2</v>
      </c>
      <c r="K67" s="4" t="inlineStr">
        <is>
          <t>ยาก</t>
        </is>
      </c>
      <c r="L67" s="4" t="b">
        <v>0</v>
      </c>
      <c r="M67" s="4" t="inlineStr">
        <is>
          <t>ค</t>
        </is>
      </c>
      <c r="N67" s="4" t="inlineStr">
        <is>
          <t>ข</t>
        </is>
      </c>
      <c r="O67" s="4" t="b">
        <v>0</v>
      </c>
      <c r="P67" s="4" t="n">
        <v>1</v>
      </c>
      <c r="Q67" s="4" t="n">
        <v>21</v>
      </c>
      <c r="R67" s="4" t="n"/>
    </row>
    <row r="68">
      <c r="A68" s="13" t="n">
        <v>46336.65578703704</v>
      </c>
      <c r="B68" s="11" t="n">
        <v>46336</v>
      </c>
      <c r="C68" s="4" t="n">
        <v>1</v>
      </c>
      <c r="D68" s="4" t="inlineStr">
        <is>
          <t>U-DEMO-04</t>
        </is>
      </c>
      <c r="E68" s="4" t="inlineStr">
        <is>
          <t>มาลี ตั้งใจ</t>
        </is>
      </c>
      <c r="F68" s="4" t="inlineStr">
        <is>
          <t>WH</t>
        </is>
      </c>
      <c r="G68" s="4" t="n">
        <v>2</v>
      </c>
      <c r="H68" s="4" t="inlineStr">
        <is>
          <t>C2-002</t>
        </is>
      </c>
      <c r="I68" s="4" t="n">
        <v>1</v>
      </c>
      <c r="J68" s="4" t="n">
        <v>2</v>
      </c>
      <c r="K68" s="4" t="inlineStr">
        <is>
          <t>ง่าย</t>
        </is>
      </c>
      <c r="L68" s="4" t="b">
        <v>0</v>
      </c>
      <c r="M68" s="4" t="inlineStr">
        <is>
          <t>ค</t>
        </is>
      </c>
      <c r="N68" s="4" t="inlineStr">
        <is>
          <t>ค</t>
        </is>
      </c>
      <c r="O68" s="4" t="b">
        <v>1</v>
      </c>
      <c r="P68" s="4" t="n">
        <v>1</v>
      </c>
      <c r="Q68" s="4" t="n">
        <v>50</v>
      </c>
      <c r="R68" s="4" t="n"/>
    </row>
    <row r="69">
      <c r="A69" s="13" t="n">
        <v>46336.65625</v>
      </c>
      <c r="B69" s="11" t="n">
        <v>46336</v>
      </c>
      <c r="C69" s="4" t="n">
        <v>1</v>
      </c>
      <c r="D69" s="4" t="inlineStr">
        <is>
          <t>U-DEMO-04</t>
        </is>
      </c>
      <c r="E69" s="4" t="inlineStr">
        <is>
          <t>มาลี ตั้งใจ</t>
        </is>
      </c>
      <c r="F69" s="4" t="inlineStr">
        <is>
          <t>WH</t>
        </is>
      </c>
      <c r="G69" s="4" t="n">
        <v>3</v>
      </c>
      <c r="H69" s="4" t="inlineStr">
        <is>
          <t>C1-003</t>
        </is>
      </c>
      <c r="I69" s="4" t="n">
        <v>1</v>
      </c>
      <c r="J69" s="4" t="n">
        <v>1</v>
      </c>
      <c r="K69" s="4" t="inlineStr">
        <is>
          <t>กลาง</t>
        </is>
      </c>
      <c r="L69" s="4" t="b">
        <v>0</v>
      </c>
      <c r="M69" s="4" t="inlineStr">
        <is>
          <t>ค</t>
        </is>
      </c>
      <c r="N69" s="4" t="inlineStr">
        <is>
          <t>ค</t>
        </is>
      </c>
      <c r="O69" s="4" t="b">
        <v>1</v>
      </c>
      <c r="P69" s="4" t="n">
        <v>1</v>
      </c>
      <c r="Q69" s="4" t="n">
        <v>34</v>
      </c>
      <c r="R69" s="4" t="n"/>
    </row>
    <row r="70">
      <c r="A70" s="13" t="n">
        <v>46336.65671296296</v>
      </c>
      <c r="B70" s="11" t="n">
        <v>46336</v>
      </c>
      <c r="C70" s="4" t="n">
        <v>1</v>
      </c>
      <c r="D70" s="4" t="inlineStr">
        <is>
          <t>U-DEMO-04</t>
        </is>
      </c>
      <c r="E70" s="4" t="inlineStr">
        <is>
          <t>มาลี ตั้งใจ</t>
        </is>
      </c>
      <c r="F70" s="4" t="inlineStr">
        <is>
          <t>WH</t>
        </is>
      </c>
      <c r="G70" s="4" t="n">
        <v>4</v>
      </c>
      <c r="H70" s="4" t="inlineStr">
        <is>
          <t>C1-009</t>
        </is>
      </c>
      <c r="I70" s="4" t="n">
        <v>1</v>
      </c>
      <c r="J70" s="4" t="n">
        <v>1</v>
      </c>
      <c r="K70" s="4" t="inlineStr">
        <is>
          <t>กลาง</t>
        </is>
      </c>
      <c r="L70" s="4" t="b">
        <v>0</v>
      </c>
      <c r="M70" s="4" t="inlineStr">
        <is>
          <t>ข</t>
        </is>
      </c>
      <c r="N70" s="4" t="inlineStr">
        <is>
          <t>ข</t>
        </is>
      </c>
      <c r="O70" s="4" t="b">
        <v>1</v>
      </c>
      <c r="P70" s="4" t="n">
        <v>1</v>
      </c>
      <c r="Q70" s="4" t="n">
        <v>46</v>
      </c>
      <c r="R70" s="4" t="n"/>
    </row>
    <row r="71">
      <c r="A71" s="13" t="n">
        <v>46336.65717592592</v>
      </c>
      <c r="B71" s="11" t="n">
        <v>46336</v>
      </c>
      <c r="C71" s="4" t="n">
        <v>1</v>
      </c>
      <c r="D71" s="4" t="inlineStr">
        <is>
          <t>U-DEMO-04</t>
        </is>
      </c>
      <c r="E71" s="4" t="inlineStr">
        <is>
          <t>มาลี ตั้งใจ</t>
        </is>
      </c>
      <c r="F71" s="4" t="inlineStr">
        <is>
          <t>WH</t>
        </is>
      </c>
      <c r="G71" s="4" t="n">
        <v>5</v>
      </c>
      <c r="H71" s="4" t="inlineStr">
        <is>
          <t>C1-010</t>
        </is>
      </c>
      <c r="I71" s="4" t="n">
        <v>1</v>
      </c>
      <c r="J71" s="4" t="n">
        <v>1</v>
      </c>
      <c r="K71" s="4" t="inlineStr">
        <is>
          <t>ยาก</t>
        </is>
      </c>
      <c r="L71" s="4" t="b">
        <v>0</v>
      </c>
      <c r="M71" s="4" t="inlineStr">
        <is>
          <t>ค</t>
        </is>
      </c>
      <c r="N71" s="4" t="inlineStr">
        <is>
          <t>ก</t>
        </is>
      </c>
      <c r="O71" s="4" t="b">
        <v>0</v>
      </c>
      <c r="P71" s="4" t="n">
        <v>1</v>
      </c>
      <c r="Q71" s="4" t="n">
        <v>20</v>
      </c>
      <c r="R71" s="4" t="n"/>
    </row>
    <row r="72">
      <c r="A72" s="13" t="n">
        <v>46337.56365740741</v>
      </c>
      <c r="B72" s="11" t="n">
        <v>46337</v>
      </c>
      <c r="C72" s="4" t="n">
        <v>1</v>
      </c>
      <c r="D72" s="4" t="inlineStr">
        <is>
          <t>U-DEMO-04</t>
        </is>
      </c>
      <c r="E72" s="4" t="inlineStr">
        <is>
          <t>มาลี ตั้งใจ</t>
        </is>
      </c>
      <c r="F72" s="4" t="inlineStr">
        <is>
          <t>WH</t>
        </is>
      </c>
      <c r="G72" s="4" t="n">
        <v>1</v>
      </c>
      <c r="H72" s="4" t="inlineStr">
        <is>
          <t>C2-010</t>
        </is>
      </c>
      <c r="I72" s="4" t="n">
        <v>1</v>
      </c>
      <c r="J72" s="4" t="n">
        <v>2</v>
      </c>
      <c r="K72" s="4" t="inlineStr">
        <is>
          <t>ยาก</t>
        </is>
      </c>
      <c r="L72" s="4" t="b">
        <v>0</v>
      </c>
      <c r="M72" s="4" t="inlineStr">
        <is>
          <t>ค</t>
        </is>
      </c>
      <c r="N72" s="4" t="inlineStr">
        <is>
          <t>ค</t>
        </is>
      </c>
      <c r="O72" s="4" t="b">
        <v>1</v>
      </c>
      <c r="P72" s="4" t="n">
        <v>2</v>
      </c>
      <c r="Q72" s="4" t="n">
        <v>37</v>
      </c>
      <c r="R72" s="4" t="n"/>
    </row>
    <row r="73">
      <c r="A73" s="13" t="n">
        <v>46337.56412037037</v>
      </c>
      <c r="B73" s="11" t="n">
        <v>46337</v>
      </c>
      <c r="C73" s="4" t="n">
        <v>1</v>
      </c>
      <c r="D73" s="4" t="inlineStr">
        <is>
          <t>U-DEMO-04</t>
        </is>
      </c>
      <c r="E73" s="4" t="inlineStr">
        <is>
          <t>มาลี ตั้งใจ</t>
        </is>
      </c>
      <c r="F73" s="4" t="inlineStr">
        <is>
          <t>WH</t>
        </is>
      </c>
      <c r="G73" s="4" t="n">
        <v>2</v>
      </c>
      <c r="H73" s="4" t="inlineStr">
        <is>
          <t>C1-010</t>
        </is>
      </c>
      <c r="I73" s="4" t="n">
        <v>1</v>
      </c>
      <c r="J73" s="4" t="n">
        <v>1</v>
      </c>
      <c r="K73" s="4" t="inlineStr">
        <is>
          <t>ยาก</t>
        </is>
      </c>
      <c r="L73" s="4" t="b">
        <v>0</v>
      </c>
      <c r="M73" s="4" t="inlineStr">
        <is>
          <t>ง</t>
        </is>
      </c>
      <c r="N73" s="4" t="inlineStr">
        <is>
          <t>ง</t>
        </is>
      </c>
      <c r="O73" s="4" t="b">
        <v>1</v>
      </c>
      <c r="P73" s="4" t="n">
        <v>2</v>
      </c>
      <c r="Q73" s="4" t="n">
        <v>52</v>
      </c>
      <c r="R73" s="4" t="n"/>
    </row>
    <row r="74">
      <c r="A74" s="13" t="n">
        <v>46337.56458333333</v>
      </c>
      <c r="B74" s="11" t="n">
        <v>46337</v>
      </c>
      <c r="C74" s="4" t="n">
        <v>1</v>
      </c>
      <c r="D74" s="4" t="inlineStr">
        <is>
          <t>U-DEMO-04</t>
        </is>
      </c>
      <c r="E74" s="4" t="inlineStr">
        <is>
          <t>มาลี ตั้งใจ</t>
        </is>
      </c>
      <c r="F74" s="4" t="inlineStr">
        <is>
          <t>WH</t>
        </is>
      </c>
      <c r="G74" s="4" t="n">
        <v>3</v>
      </c>
      <c r="H74" s="4" t="inlineStr">
        <is>
          <t>C2-002</t>
        </is>
      </c>
      <c r="I74" s="4" t="n">
        <v>1</v>
      </c>
      <c r="J74" s="4" t="n">
        <v>2</v>
      </c>
      <c r="K74" s="4" t="inlineStr">
        <is>
          <t>ง่าย</t>
        </is>
      </c>
      <c r="L74" s="4" t="b">
        <v>0</v>
      </c>
      <c r="M74" s="4" t="inlineStr">
        <is>
          <t>ข</t>
        </is>
      </c>
      <c r="N74" s="4" t="inlineStr">
        <is>
          <t>ข</t>
        </is>
      </c>
      <c r="O74" s="4" t="b">
        <v>1</v>
      </c>
      <c r="P74" s="4" t="n">
        <v>2</v>
      </c>
      <c r="Q74" s="4" t="n">
        <v>47</v>
      </c>
      <c r="R74" s="4" t="n"/>
    </row>
    <row r="75">
      <c r="A75" s="13" t="n">
        <v>46337.56504629629</v>
      </c>
      <c r="B75" s="11" t="n">
        <v>46337</v>
      </c>
      <c r="C75" s="4" t="n">
        <v>1</v>
      </c>
      <c r="D75" s="4" t="inlineStr">
        <is>
          <t>U-DEMO-04</t>
        </is>
      </c>
      <c r="E75" s="4" t="inlineStr">
        <is>
          <t>มาลี ตั้งใจ</t>
        </is>
      </c>
      <c r="F75" s="4" t="inlineStr">
        <is>
          <t>WH</t>
        </is>
      </c>
      <c r="G75" s="4" t="n">
        <v>4</v>
      </c>
      <c r="H75" s="4" t="inlineStr">
        <is>
          <t>C1-007</t>
        </is>
      </c>
      <c r="I75" s="4" t="n">
        <v>1</v>
      </c>
      <c r="J75" s="4" t="n">
        <v>1</v>
      </c>
      <c r="K75" s="4" t="inlineStr">
        <is>
          <t>ง่าย</t>
        </is>
      </c>
      <c r="L75" s="4" t="b">
        <v>1</v>
      </c>
      <c r="M75" s="4" t="inlineStr">
        <is>
          <t>ข</t>
        </is>
      </c>
      <c r="N75" s="4" t="inlineStr">
        <is>
          <t>ข</t>
        </is>
      </c>
      <c r="O75" s="4" t="b">
        <v>1</v>
      </c>
      <c r="P75" s="4" t="n">
        <v>1</v>
      </c>
      <c r="Q75" s="4" t="n">
        <v>49</v>
      </c>
      <c r="R75" s="4" t="n"/>
    </row>
    <row r="76">
      <c r="A76" s="13" t="n">
        <v>46337.56550925926</v>
      </c>
      <c r="B76" s="11" t="n">
        <v>46337</v>
      </c>
      <c r="C76" s="4" t="n">
        <v>1</v>
      </c>
      <c r="D76" s="4" t="inlineStr">
        <is>
          <t>U-DEMO-04</t>
        </is>
      </c>
      <c r="E76" s="4" t="inlineStr">
        <is>
          <t>มาลี ตั้งใจ</t>
        </is>
      </c>
      <c r="F76" s="4" t="inlineStr">
        <is>
          <t>WH</t>
        </is>
      </c>
      <c r="G76" s="4" t="n">
        <v>5</v>
      </c>
      <c r="H76" s="4" t="inlineStr">
        <is>
          <t>C2-005</t>
        </is>
      </c>
      <c r="I76" s="4" t="n">
        <v>1</v>
      </c>
      <c r="J76" s="4" t="n">
        <v>2</v>
      </c>
      <c r="K76" s="4" t="inlineStr">
        <is>
          <t>ยาก</t>
        </is>
      </c>
      <c r="L76" s="4" t="b">
        <v>0</v>
      </c>
      <c r="M76" s="4" t="inlineStr">
        <is>
          <t>ค</t>
        </is>
      </c>
      <c r="N76" s="4" t="inlineStr">
        <is>
          <t>ค</t>
        </is>
      </c>
      <c r="O76" s="4" t="b">
        <v>1</v>
      </c>
      <c r="P76" s="4" t="n">
        <v>1</v>
      </c>
      <c r="Q76" s="4" t="n">
        <v>28</v>
      </c>
      <c r="R76" s="4" t="n"/>
    </row>
    <row r="77">
      <c r="A77" s="13" t="n">
        <v>46338.3650462963</v>
      </c>
      <c r="B77" s="11" t="n">
        <v>46338</v>
      </c>
      <c r="C77" s="4" t="n">
        <v>1</v>
      </c>
      <c r="D77" s="4" t="inlineStr">
        <is>
          <t>U-DEMO-04</t>
        </is>
      </c>
      <c r="E77" s="4" t="inlineStr">
        <is>
          <t>มาลี ตั้งใจ</t>
        </is>
      </c>
      <c r="F77" s="4" t="inlineStr">
        <is>
          <t>WH</t>
        </is>
      </c>
      <c r="G77" s="4" t="n">
        <v>1</v>
      </c>
      <c r="H77" s="4" t="inlineStr">
        <is>
          <t>C1-006</t>
        </is>
      </c>
      <c r="I77" s="4" t="n">
        <v>1</v>
      </c>
      <c r="J77" s="4" t="n">
        <v>1</v>
      </c>
      <c r="K77" s="4" t="inlineStr">
        <is>
          <t>ง่าย</t>
        </is>
      </c>
      <c r="L77" s="4" t="b">
        <v>0</v>
      </c>
      <c r="M77" s="4" t="inlineStr">
        <is>
          <t>ง</t>
        </is>
      </c>
      <c r="N77" s="4" t="inlineStr">
        <is>
          <t>ข</t>
        </is>
      </c>
      <c r="O77" s="4" t="b">
        <v>0</v>
      </c>
      <c r="P77" s="4" t="n">
        <v>1</v>
      </c>
      <c r="Q77" s="4" t="n">
        <v>33</v>
      </c>
      <c r="R77" s="4" t="n"/>
    </row>
    <row r="78">
      <c r="A78" s="13" t="n">
        <v>46338.36550925926</v>
      </c>
      <c r="B78" s="11" t="n">
        <v>46338</v>
      </c>
      <c r="C78" s="4" t="n">
        <v>1</v>
      </c>
      <c r="D78" s="4" t="inlineStr">
        <is>
          <t>U-DEMO-04</t>
        </is>
      </c>
      <c r="E78" s="4" t="inlineStr">
        <is>
          <t>มาลี ตั้งใจ</t>
        </is>
      </c>
      <c r="F78" s="4" t="inlineStr">
        <is>
          <t>WH</t>
        </is>
      </c>
      <c r="G78" s="4" t="n">
        <v>2</v>
      </c>
      <c r="H78" s="4" t="inlineStr">
        <is>
          <t>C2-005</t>
        </is>
      </c>
      <c r="I78" s="4" t="n">
        <v>1</v>
      </c>
      <c r="J78" s="4" t="n">
        <v>2</v>
      </c>
      <c r="K78" s="4" t="inlineStr">
        <is>
          <t>ยาก</t>
        </is>
      </c>
      <c r="L78" s="4" t="b">
        <v>0</v>
      </c>
      <c r="M78" s="4" t="inlineStr">
        <is>
          <t>ข</t>
        </is>
      </c>
      <c r="N78" s="4" t="inlineStr">
        <is>
          <t>ข</t>
        </is>
      </c>
      <c r="O78" s="4" t="b">
        <v>1</v>
      </c>
      <c r="P78" s="4" t="n">
        <v>2</v>
      </c>
      <c r="Q78" s="4" t="n">
        <v>33</v>
      </c>
      <c r="R78" s="4" t="n"/>
    </row>
    <row r="79">
      <c r="A79" s="13" t="n">
        <v>46338.36597222222</v>
      </c>
      <c r="B79" s="11" t="n">
        <v>46338</v>
      </c>
      <c r="C79" s="4" t="n">
        <v>1</v>
      </c>
      <c r="D79" s="4" t="inlineStr">
        <is>
          <t>U-DEMO-04</t>
        </is>
      </c>
      <c r="E79" s="4" t="inlineStr">
        <is>
          <t>มาลี ตั้งใจ</t>
        </is>
      </c>
      <c r="F79" s="4" t="inlineStr">
        <is>
          <t>WH</t>
        </is>
      </c>
      <c r="G79" s="4" t="n">
        <v>3</v>
      </c>
      <c r="H79" s="4" t="inlineStr">
        <is>
          <t>C1-001</t>
        </is>
      </c>
      <c r="I79" s="4" t="n">
        <v>1</v>
      </c>
      <c r="J79" s="4" t="n">
        <v>1</v>
      </c>
      <c r="K79" s="4" t="inlineStr">
        <is>
          <t>ง่าย</t>
        </is>
      </c>
      <c r="L79" s="4" t="b">
        <v>0</v>
      </c>
      <c r="M79" s="4" t="inlineStr">
        <is>
          <t>ก</t>
        </is>
      </c>
      <c r="N79" s="4" t="inlineStr">
        <is>
          <t>ก</t>
        </is>
      </c>
      <c r="O79" s="4" t="b">
        <v>1</v>
      </c>
      <c r="P79" s="4" t="n">
        <v>1</v>
      </c>
      <c r="Q79" s="4" t="n">
        <v>16</v>
      </c>
      <c r="R79" s="4" t="n"/>
    </row>
    <row r="80">
      <c r="A80" s="13" t="n">
        <v>46338.36643518518</v>
      </c>
      <c r="B80" s="11" t="n">
        <v>46338</v>
      </c>
      <c r="C80" s="4" t="n">
        <v>1</v>
      </c>
      <c r="D80" s="4" t="inlineStr">
        <is>
          <t>U-DEMO-04</t>
        </is>
      </c>
      <c r="E80" s="4" t="inlineStr">
        <is>
          <t>มาลี ตั้งใจ</t>
        </is>
      </c>
      <c r="F80" s="4" t="inlineStr">
        <is>
          <t>WH</t>
        </is>
      </c>
      <c r="G80" s="4" t="n">
        <v>4</v>
      </c>
      <c r="H80" s="4" t="inlineStr">
        <is>
          <t>C2-006</t>
        </is>
      </c>
      <c r="I80" s="4" t="n">
        <v>1</v>
      </c>
      <c r="J80" s="4" t="n">
        <v>2</v>
      </c>
      <c r="K80" s="4" t="inlineStr">
        <is>
          <t>ง่าย</t>
        </is>
      </c>
      <c r="L80" s="4" t="b">
        <v>0</v>
      </c>
      <c r="M80" s="4" t="inlineStr">
        <is>
          <t>ข</t>
        </is>
      </c>
      <c r="N80" s="4" t="inlineStr">
        <is>
          <t>ข</t>
        </is>
      </c>
      <c r="O80" s="4" t="b">
        <v>1</v>
      </c>
      <c r="P80" s="4" t="n">
        <v>1</v>
      </c>
      <c r="Q80" s="4" t="n">
        <v>41</v>
      </c>
      <c r="R80" s="4" t="n"/>
    </row>
    <row r="81">
      <c r="A81" s="13" t="n">
        <v>46338.36689814815</v>
      </c>
      <c r="B81" s="11" t="n">
        <v>46338</v>
      </c>
      <c r="C81" s="4" t="n">
        <v>1</v>
      </c>
      <c r="D81" s="4" t="inlineStr">
        <is>
          <t>U-DEMO-04</t>
        </is>
      </c>
      <c r="E81" s="4" t="inlineStr">
        <is>
          <t>มาลี ตั้งใจ</t>
        </is>
      </c>
      <c r="F81" s="4" t="inlineStr">
        <is>
          <t>WH</t>
        </is>
      </c>
      <c r="G81" s="4" t="n">
        <v>5</v>
      </c>
      <c r="H81" s="4" t="inlineStr">
        <is>
          <t>C1-011</t>
        </is>
      </c>
      <c r="I81" s="4" t="n">
        <v>1</v>
      </c>
      <c r="J81" s="4" t="n">
        <v>1</v>
      </c>
      <c r="K81" s="4" t="inlineStr">
        <is>
          <t>ง่าย</t>
        </is>
      </c>
      <c r="L81" s="4" t="b">
        <v>0</v>
      </c>
      <c r="M81" s="4" t="inlineStr">
        <is>
          <t>ก</t>
        </is>
      </c>
      <c r="N81" s="4" t="inlineStr">
        <is>
          <t>ก</t>
        </is>
      </c>
      <c r="O81" s="4" t="b">
        <v>1</v>
      </c>
      <c r="P81" s="4" t="n">
        <v>1</v>
      </c>
      <c r="Q81" s="4" t="n">
        <v>32</v>
      </c>
      <c r="R81" s="4" t="n"/>
    </row>
    <row r="82">
      <c r="A82" s="13" t="n">
        <v>46342.58518518518</v>
      </c>
      <c r="B82" s="11" t="n">
        <v>46342</v>
      </c>
      <c r="C82" s="4" t="n">
        <v>2</v>
      </c>
      <c r="D82" s="4" t="inlineStr">
        <is>
          <t>U-DEMO-04</t>
        </is>
      </c>
      <c r="E82" s="4" t="inlineStr">
        <is>
          <t>มาลี ตั้งใจ</t>
        </is>
      </c>
      <c r="F82" s="4" t="inlineStr">
        <is>
          <t>WH</t>
        </is>
      </c>
      <c r="G82" s="4" t="n">
        <v>1</v>
      </c>
      <c r="H82" s="4" t="inlineStr">
        <is>
          <t>C4-011</t>
        </is>
      </c>
      <c r="I82" s="4" t="n">
        <v>1</v>
      </c>
      <c r="J82" s="4" t="n">
        <v>4</v>
      </c>
      <c r="K82" s="4" t="inlineStr">
        <is>
          <t>ง่าย</t>
        </is>
      </c>
      <c r="L82" s="4" t="b">
        <v>0</v>
      </c>
      <c r="M82" s="4" t="inlineStr">
        <is>
          <t>ก</t>
        </is>
      </c>
      <c r="N82" s="4" t="inlineStr">
        <is>
          <t>ง</t>
        </is>
      </c>
      <c r="O82" s="4" t="b">
        <v>0</v>
      </c>
      <c r="P82" s="4" t="n">
        <v>1</v>
      </c>
      <c r="Q82" s="4" t="n">
        <v>30</v>
      </c>
      <c r="R82" s="4" t="n"/>
    </row>
    <row r="83">
      <c r="A83" s="13" t="n">
        <v>46342.58564814815</v>
      </c>
      <c r="B83" s="11" t="n">
        <v>46342</v>
      </c>
      <c r="C83" s="4" t="n">
        <v>2</v>
      </c>
      <c r="D83" s="4" t="inlineStr">
        <is>
          <t>U-DEMO-04</t>
        </is>
      </c>
      <c r="E83" s="4" t="inlineStr">
        <is>
          <t>มาลี ตั้งใจ</t>
        </is>
      </c>
      <c r="F83" s="4" t="inlineStr">
        <is>
          <t>WH</t>
        </is>
      </c>
      <c r="G83" s="4" t="n">
        <v>2</v>
      </c>
      <c r="H83" s="4" t="inlineStr">
        <is>
          <t>C3-007</t>
        </is>
      </c>
      <c r="I83" s="4" t="n">
        <v>1</v>
      </c>
      <c r="J83" s="4" t="n">
        <v>3</v>
      </c>
      <c r="K83" s="4" t="inlineStr">
        <is>
          <t>ง่าย</t>
        </is>
      </c>
      <c r="L83" s="4" t="b">
        <v>1</v>
      </c>
      <c r="M83" s="4" t="inlineStr">
        <is>
          <t>ข</t>
        </is>
      </c>
      <c r="N83" s="4" t="inlineStr">
        <is>
          <t>ข</t>
        </is>
      </c>
      <c r="O83" s="4" t="b">
        <v>1</v>
      </c>
      <c r="P83" s="4" t="n">
        <v>1</v>
      </c>
      <c r="Q83" s="4" t="n">
        <v>54</v>
      </c>
      <c r="R83" s="4" t="n"/>
    </row>
    <row r="84">
      <c r="A84" s="13" t="n">
        <v>46342.58611111111</v>
      </c>
      <c r="B84" s="11" t="n">
        <v>46342</v>
      </c>
      <c r="C84" s="4" t="n">
        <v>2</v>
      </c>
      <c r="D84" s="4" t="inlineStr">
        <is>
          <t>U-DEMO-04</t>
        </is>
      </c>
      <c r="E84" s="4" t="inlineStr">
        <is>
          <t>มาลี ตั้งใจ</t>
        </is>
      </c>
      <c r="F84" s="4" t="inlineStr">
        <is>
          <t>WH</t>
        </is>
      </c>
      <c r="G84" s="4" t="n">
        <v>3</v>
      </c>
      <c r="H84" s="4" t="inlineStr">
        <is>
          <t>C4-009</t>
        </is>
      </c>
      <c r="I84" s="4" t="n">
        <v>1</v>
      </c>
      <c r="J84" s="4" t="n">
        <v>4</v>
      </c>
      <c r="K84" s="4" t="inlineStr">
        <is>
          <t>กลาง</t>
        </is>
      </c>
      <c r="L84" s="4" t="b">
        <v>0</v>
      </c>
      <c r="M84" s="4" t="inlineStr">
        <is>
          <t>ก</t>
        </is>
      </c>
      <c r="N84" s="4" t="inlineStr">
        <is>
          <t>ก</t>
        </is>
      </c>
      <c r="O84" s="4" t="b">
        <v>1</v>
      </c>
      <c r="P84" s="4" t="n">
        <v>1</v>
      </c>
      <c r="Q84" s="4" t="n">
        <v>44</v>
      </c>
      <c r="R84" s="4" t="n"/>
    </row>
    <row r="85">
      <c r="A85" s="13" t="n">
        <v>46342.58657407408</v>
      </c>
      <c r="B85" s="11" t="n">
        <v>46342</v>
      </c>
      <c r="C85" s="4" t="n">
        <v>2</v>
      </c>
      <c r="D85" s="4" t="inlineStr">
        <is>
          <t>U-DEMO-04</t>
        </is>
      </c>
      <c r="E85" s="4" t="inlineStr">
        <is>
          <t>มาลี ตั้งใจ</t>
        </is>
      </c>
      <c r="F85" s="4" t="inlineStr">
        <is>
          <t>WH</t>
        </is>
      </c>
      <c r="G85" s="4" t="n">
        <v>4</v>
      </c>
      <c r="H85" s="4" t="inlineStr">
        <is>
          <t>C4-005</t>
        </is>
      </c>
      <c r="I85" s="4" t="n">
        <v>1</v>
      </c>
      <c r="J85" s="4" t="n">
        <v>4</v>
      </c>
      <c r="K85" s="4" t="inlineStr">
        <is>
          <t>ยาก</t>
        </is>
      </c>
      <c r="L85" s="4" t="b">
        <v>0</v>
      </c>
      <c r="M85" s="4" t="inlineStr">
        <is>
          <t>ข</t>
        </is>
      </c>
      <c r="N85" s="4" t="inlineStr">
        <is>
          <t>ค</t>
        </is>
      </c>
      <c r="O85" s="4" t="b">
        <v>0</v>
      </c>
      <c r="P85" s="4" t="n">
        <v>1</v>
      </c>
      <c r="Q85" s="4" t="n">
        <v>35</v>
      </c>
      <c r="R85" s="4" t="n"/>
    </row>
    <row r="86">
      <c r="A86" s="13" t="n">
        <v>46342.58703703704</v>
      </c>
      <c r="B86" s="11" t="n">
        <v>46342</v>
      </c>
      <c r="C86" s="4" t="n">
        <v>2</v>
      </c>
      <c r="D86" s="4" t="inlineStr">
        <is>
          <t>U-DEMO-04</t>
        </is>
      </c>
      <c r="E86" s="4" t="inlineStr">
        <is>
          <t>มาลี ตั้งใจ</t>
        </is>
      </c>
      <c r="F86" s="4" t="inlineStr">
        <is>
          <t>WH</t>
        </is>
      </c>
      <c r="G86" s="4" t="n">
        <v>5</v>
      </c>
      <c r="H86" s="4" t="inlineStr">
        <is>
          <t>C4-007</t>
        </is>
      </c>
      <c r="I86" s="4" t="n">
        <v>1</v>
      </c>
      <c r="J86" s="4" t="n">
        <v>4</v>
      </c>
      <c r="K86" s="4" t="inlineStr">
        <is>
          <t>ง่าย</t>
        </is>
      </c>
      <c r="L86" s="4" t="b">
        <v>1</v>
      </c>
      <c r="M86" s="4" t="inlineStr">
        <is>
          <t>ค</t>
        </is>
      </c>
      <c r="N86" s="4" t="inlineStr">
        <is>
          <t>ค</t>
        </is>
      </c>
      <c r="O86" s="4" t="b">
        <v>1</v>
      </c>
      <c r="P86" s="4" t="n">
        <v>1</v>
      </c>
      <c r="Q86" s="4" t="n">
        <v>46</v>
      </c>
      <c r="R86" s="4" t="n"/>
    </row>
    <row r="87">
      <c r="A87" s="13" t="n">
        <v>46335.51365740741</v>
      </c>
      <c r="B87" s="11" t="n">
        <v>46335</v>
      </c>
      <c r="C87" s="4" t="n">
        <v>1</v>
      </c>
      <c r="D87" s="4" t="inlineStr">
        <is>
          <t>U-DEMO-05</t>
        </is>
      </c>
      <c r="E87" s="4" t="inlineStr">
        <is>
          <t>ปิยะ ขยันดี</t>
        </is>
      </c>
      <c r="F87" s="4" t="inlineStr">
        <is>
          <t>SAMYAN</t>
        </is>
      </c>
      <c r="G87" s="4" t="n">
        <v>1</v>
      </c>
      <c r="H87" s="4" t="inlineStr">
        <is>
          <t>C2-003</t>
        </is>
      </c>
      <c r="I87" s="4" t="n">
        <v>1</v>
      </c>
      <c r="J87" s="4" t="n">
        <v>2</v>
      </c>
      <c r="K87" s="4" t="inlineStr">
        <is>
          <t>กลาง</t>
        </is>
      </c>
      <c r="L87" s="4" t="b">
        <v>0</v>
      </c>
      <c r="M87" s="4" t="inlineStr">
        <is>
          <t>ก</t>
        </is>
      </c>
      <c r="N87" s="4" t="inlineStr">
        <is>
          <t>ก</t>
        </is>
      </c>
      <c r="O87" s="4" t="b">
        <v>1</v>
      </c>
      <c r="P87" s="4" t="n">
        <v>1</v>
      </c>
      <c r="Q87" s="4" t="n">
        <v>23</v>
      </c>
      <c r="R87" s="4" t="n"/>
    </row>
    <row r="88">
      <c r="A88" s="13" t="n">
        <v>46335.51412037037</v>
      </c>
      <c r="B88" s="11" t="n">
        <v>46335</v>
      </c>
      <c r="C88" s="4" t="n">
        <v>1</v>
      </c>
      <c r="D88" s="4" t="inlineStr">
        <is>
          <t>U-DEMO-05</t>
        </is>
      </c>
      <c r="E88" s="4" t="inlineStr">
        <is>
          <t>ปิยะ ขยันดี</t>
        </is>
      </c>
      <c r="F88" s="4" t="inlineStr">
        <is>
          <t>SAMYAN</t>
        </is>
      </c>
      <c r="G88" s="4" t="n">
        <v>2</v>
      </c>
      <c r="H88" s="4" t="inlineStr">
        <is>
          <t>C1-010</t>
        </is>
      </c>
      <c r="I88" s="4" t="n">
        <v>1</v>
      </c>
      <c r="J88" s="4" t="n">
        <v>1</v>
      </c>
      <c r="K88" s="4" t="inlineStr">
        <is>
          <t>ยาก</t>
        </is>
      </c>
      <c r="L88" s="4" t="b">
        <v>0</v>
      </c>
      <c r="M88" s="4" t="inlineStr">
        <is>
          <t>ง</t>
        </is>
      </c>
      <c r="N88" s="4" t="inlineStr">
        <is>
          <t>ง</t>
        </is>
      </c>
      <c r="O88" s="4" t="b">
        <v>1</v>
      </c>
      <c r="P88" s="4" t="n">
        <v>1</v>
      </c>
      <c r="Q88" s="4" t="n">
        <v>29</v>
      </c>
      <c r="R88" s="4" t="n"/>
    </row>
    <row r="89">
      <c r="A89" s="13" t="n">
        <v>46335.51458333333</v>
      </c>
      <c r="B89" s="11" t="n">
        <v>46335</v>
      </c>
      <c r="C89" s="4" t="n">
        <v>1</v>
      </c>
      <c r="D89" s="4" t="inlineStr">
        <is>
          <t>U-DEMO-05</t>
        </is>
      </c>
      <c r="E89" s="4" t="inlineStr">
        <is>
          <t>ปิยะ ขยันดี</t>
        </is>
      </c>
      <c r="F89" s="4" t="inlineStr">
        <is>
          <t>SAMYAN</t>
        </is>
      </c>
      <c r="G89" s="4" t="n">
        <v>3</v>
      </c>
      <c r="H89" s="4" t="inlineStr">
        <is>
          <t>C1-004</t>
        </is>
      </c>
      <c r="I89" s="4" t="n">
        <v>1</v>
      </c>
      <c r="J89" s="4" t="n">
        <v>1</v>
      </c>
      <c r="K89" s="4" t="inlineStr">
        <is>
          <t>กลาง</t>
        </is>
      </c>
      <c r="L89" s="4" t="b">
        <v>0</v>
      </c>
      <c r="M89" s="4" t="inlineStr">
        <is>
          <t>ค</t>
        </is>
      </c>
      <c r="N89" s="4" t="inlineStr">
        <is>
          <t>ค</t>
        </is>
      </c>
      <c r="O89" s="4" t="b">
        <v>1</v>
      </c>
      <c r="P89" s="4" t="n">
        <v>1</v>
      </c>
      <c r="Q89" s="4" t="n">
        <v>32</v>
      </c>
      <c r="R89" s="4" t="n"/>
    </row>
    <row r="90">
      <c r="A90" s="13" t="n">
        <v>46335.5150462963</v>
      </c>
      <c r="B90" s="11" t="n">
        <v>46335</v>
      </c>
      <c r="C90" s="4" t="n">
        <v>1</v>
      </c>
      <c r="D90" s="4" t="inlineStr">
        <is>
          <t>U-DEMO-05</t>
        </is>
      </c>
      <c r="E90" s="4" t="inlineStr">
        <is>
          <t>ปิยะ ขยันดี</t>
        </is>
      </c>
      <c r="F90" s="4" t="inlineStr">
        <is>
          <t>SAMYAN</t>
        </is>
      </c>
      <c r="G90" s="4" t="n">
        <v>4</v>
      </c>
      <c r="H90" s="4" t="inlineStr">
        <is>
          <t>C1-007</t>
        </is>
      </c>
      <c r="I90" s="4" t="n">
        <v>1</v>
      </c>
      <c r="J90" s="4" t="n">
        <v>1</v>
      </c>
      <c r="K90" s="4" t="inlineStr">
        <is>
          <t>ง่าย</t>
        </is>
      </c>
      <c r="L90" s="4" t="b">
        <v>1</v>
      </c>
      <c r="M90" s="4" t="inlineStr">
        <is>
          <t>ข</t>
        </is>
      </c>
      <c r="N90" s="4" t="inlineStr">
        <is>
          <t>ข</t>
        </is>
      </c>
      <c r="O90" s="4" t="b">
        <v>1</v>
      </c>
      <c r="P90" s="4" t="n">
        <v>1</v>
      </c>
      <c r="Q90" s="4" t="n">
        <v>47</v>
      </c>
      <c r="R90" s="4" t="n"/>
    </row>
    <row r="91">
      <c r="A91" s="13" t="n">
        <v>46335.51550925926</v>
      </c>
      <c r="B91" s="11" t="n">
        <v>46335</v>
      </c>
      <c r="C91" s="4" t="n">
        <v>1</v>
      </c>
      <c r="D91" s="4" t="inlineStr">
        <is>
          <t>U-DEMO-05</t>
        </is>
      </c>
      <c r="E91" s="4" t="inlineStr">
        <is>
          <t>ปิยะ ขยันดี</t>
        </is>
      </c>
      <c r="F91" s="4" t="inlineStr">
        <is>
          <t>SAMYAN</t>
        </is>
      </c>
      <c r="G91" s="4" t="n">
        <v>5</v>
      </c>
      <c r="H91" s="4" t="inlineStr">
        <is>
          <t>C1-001</t>
        </is>
      </c>
      <c r="I91" s="4" t="n">
        <v>1</v>
      </c>
      <c r="J91" s="4" t="n">
        <v>1</v>
      </c>
      <c r="K91" s="4" t="inlineStr">
        <is>
          <t>ง่าย</t>
        </is>
      </c>
      <c r="L91" s="4" t="b">
        <v>0</v>
      </c>
      <c r="M91" s="4" t="inlineStr">
        <is>
          <t>ข</t>
        </is>
      </c>
      <c r="N91" s="4" t="inlineStr">
        <is>
          <t>ข</t>
        </is>
      </c>
      <c r="O91" s="4" t="b">
        <v>1</v>
      </c>
      <c r="P91" s="4" t="n">
        <v>1</v>
      </c>
      <c r="Q91" s="4" t="n">
        <v>25</v>
      </c>
      <c r="R91" s="4" t="n"/>
    </row>
    <row r="92">
      <c r="A92" s="13" t="n">
        <v>46337.59143518518</v>
      </c>
      <c r="B92" s="11" t="n">
        <v>46337</v>
      </c>
      <c r="C92" s="4" t="n">
        <v>1</v>
      </c>
      <c r="D92" s="4" t="inlineStr">
        <is>
          <t>U-DEMO-05</t>
        </is>
      </c>
      <c r="E92" s="4" t="inlineStr">
        <is>
          <t>ปิยะ ขยันดี</t>
        </is>
      </c>
      <c r="F92" s="4" t="inlineStr">
        <is>
          <t>SAMYAN</t>
        </is>
      </c>
      <c r="G92" s="4" t="n">
        <v>1</v>
      </c>
      <c r="H92" s="4" t="inlineStr">
        <is>
          <t>C2-011</t>
        </is>
      </c>
      <c r="I92" s="4" t="n">
        <v>1</v>
      </c>
      <c r="J92" s="4" t="n">
        <v>2</v>
      </c>
      <c r="K92" s="4" t="inlineStr">
        <is>
          <t>ง่าย</t>
        </is>
      </c>
      <c r="L92" s="4" t="b">
        <v>0</v>
      </c>
      <c r="M92" s="4" t="inlineStr">
        <is>
          <t>ข</t>
        </is>
      </c>
      <c r="N92" s="4" t="inlineStr">
        <is>
          <t>ข</t>
        </is>
      </c>
      <c r="O92" s="4" t="b">
        <v>1</v>
      </c>
      <c r="P92" s="4" t="n">
        <v>1</v>
      </c>
      <c r="Q92" s="4" t="n">
        <v>44</v>
      </c>
      <c r="R92" s="4" t="n"/>
    </row>
    <row r="93">
      <c r="A93" s="13" t="n">
        <v>46337.59189814814</v>
      </c>
      <c r="B93" s="11" t="n">
        <v>46337</v>
      </c>
      <c r="C93" s="4" t="n">
        <v>1</v>
      </c>
      <c r="D93" s="4" t="inlineStr">
        <is>
          <t>U-DEMO-05</t>
        </is>
      </c>
      <c r="E93" s="4" t="inlineStr">
        <is>
          <t>ปิยะ ขยันดี</t>
        </is>
      </c>
      <c r="F93" s="4" t="inlineStr">
        <is>
          <t>SAMYAN</t>
        </is>
      </c>
      <c r="G93" s="4" t="n">
        <v>2</v>
      </c>
      <c r="H93" s="4" t="inlineStr">
        <is>
          <t>C2-003</t>
        </is>
      </c>
      <c r="I93" s="4" t="n">
        <v>1</v>
      </c>
      <c r="J93" s="4" t="n">
        <v>2</v>
      </c>
      <c r="K93" s="4" t="inlineStr">
        <is>
          <t>กลาง</t>
        </is>
      </c>
      <c r="L93" s="4" t="b">
        <v>0</v>
      </c>
      <c r="M93" s="4" t="inlineStr">
        <is>
          <t>ง</t>
        </is>
      </c>
      <c r="N93" s="4" t="inlineStr">
        <is>
          <t>ง</t>
        </is>
      </c>
      <c r="O93" s="4" t="b">
        <v>1</v>
      </c>
      <c r="P93" s="4" t="n">
        <v>2</v>
      </c>
      <c r="Q93" s="4" t="n">
        <v>35</v>
      </c>
      <c r="R93" s="4" t="n"/>
    </row>
    <row r="94">
      <c r="A94" s="13" t="n">
        <v>46337.59236111111</v>
      </c>
      <c r="B94" s="11" t="n">
        <v>46337</v>
      </c>
      <c r="C94" s="4" t="n">
        <v>1</v>
      </c>
      <c r="D94" s="4" t="inlineStr">
        <is>
          <t>U-DEMO-05</t>
        </is>
      </c>
      <c r="E94" s="4" t="inlineStr">
        <is>
          <t>ปิยะ ขยันดี</t>
        </is>
      </c>
      <c r="F94" s="4" t="inlineStr">
        <is>
          <t>SAMYAN</t>
        </is>
      </c>
      <c r="G94" s="4" t="n">
        <v>3</v>
      </c>
      <c r="H94" s="4" t="inlineStr">
        <is>
          <t>C1-012</t>
        </is>
      </c>
      <c r="I94" s="4" t="n">
        <v>1</v>
      </c>
      <c r="J94" s="4" t="n">
        <v>1</v>
      </c>
      <c r="K94" s="4" t="inlineStr">
        <is>
          <t>ง่าย</t>
        </is>
      </c>
      <c r="L94" s="4" t="b">
        <v>0</v>
      </c>
      <c r="M94" s="4" t="inlineStr">
        <is>
          <t>ข</t>
        </is>
      </c>
      <c r="N94" s="4" t="inlineStr">
        <is>
          <t>ข</t>
        </is>
      </c>
      <c r="O94" s="4" t="b">
        <v>1</v>
      </c>
      <c r="P94" s="4" t="n">
        <v>1</v>
      </c>
      <c r="Q94" s="4" t="n">
        <v>52</v>
      </c>
      <c r="R94" s="4" t="n"/>
    </row>
    <row r="95">
      <c r="A95" s="13" t="n">
        <v>46337.59282407408</v>
      </c>
      <c r="B95" s="11" t="n">
        <v>46337</v>
      </c>
      <c r="C95" s="4" t="n">
        <v>1</v>
      </c>
      <c r="D95" s="4" t="inlineStr">
        <is>
          <t>U-DEMO-05</t>
        </is>
      </c>
      <c r="E95" s="4" t="inlineStr">
        <is>
          <t>ปิยะ ขยันดี</t>
        </is>
      </c>
      <c r="F95" s="4" t="inlineStr">
        <is>
          <t>SAMYAN</t>
        </is>
      </c>
      <c r="G95" s="4" t="n">
        <v>4</v>
      </c>
      <c r="H95" s="4" t="inlineStr">
        <is>
          <t>C2-010</t>
        </is>
      </c>
      <c r="I95" s="4" t="n">
        <v>1</v>
      </c>
      <c r="J95" s="4" t="n">
        <v>2</v>
      </c>
      <c r="K95" s="4" t="inlineStr">
        <is>
          <t>ยาก</t>
        </is>
      </c>
      <c r="L95" s="4" t="b">
        <v>0</v>
      </c>
      <c r="M95" s="4" t="inlineStr">
        <is>
          <t>ง</t>
        </is>
      </c>
      <c r="N95" s="4" t="inlineStr">
        <is>
          <t>ง</t>
        </is>
      </c>
      <c r="O95" s="4" t="b">
        <v>1</v>
      </c>
      <c r="P95" s="4" t="n">
        <v>1</v>
      </c>
      <c r="Q95" s="4" t="n">
        <v>14</v>
      </c>
      <c r="R95" s="4" t="n"/>
    </row>
    <row r="96">
      <c r="A96" s="13" t="n">
        <v>46337.59328703704</v>
      </c>
      <c r="B96" s="11" t="n">
        <v>46337</v>
      </c>
      <c r="C96" s="4" t="n">
        <v>1</v>
      </c>
      <c r="D96" s="4" t="inlineStr">
        <is>
          <t>U-DEMO-05</t>
        </is>
      </c>
      <c r="E96" s="4" t="inlineStr">
        <is>
          <t>ปิยะ ขยันดี</t>
        </is>
      </c>
      <c r="F96" s="4" t="inlineStr">
        <is>
          <t>SAMYAN</t>
        </is>
      </c>
      <c r="G96" s="4" t="n">
        <v>5</v>
      </c>
      <c r="H96" s="4" t="inlineStr">
        <is>
          <t>C2-006</t>
        </is>
      </c>
      <c r="I96" s="4" t="n">
        <v>1</v>
      </c>
      <c r="J96" s="4" t="n">
        <v>2</v>
      </c>
      <c r="K96" s="4" t="inlineStr">
        <is>
          <t>ง่าย</t>
        </is>
      </c>
      <c r="L96" s="4" t="b">
        <v>0</v>
      </c>
      <c r="M96" s="4" t="inlineStr">
        <is>
          <t>ค</t>
        </is>
      </c>
      <c r="N96" s="4" t="inlineStr">
        <is>
          <t>ค</t>
        </is>
      </c>
      <c r="O96" s="4" t="b">
        <v>1</v>
      </c>
      <c r="P96" s="4" t="n">
        <v>1</v>
      </c>
      <c r="Q96" s="4" t="n">
        <v>29</v>
      </c>
      <c r="R96" s="4" t="n"/>
    </row>
    <row r="97">
      <c r="A97" s="13" t="n">
        <v>46338.56157407408</v>
      </c>
      <c r="B97" s="11" t="n">
        <v>46338</v>
      </c>
      <c r="C97" s="4" t="n">
        <v>1</v>
      </c>
      <c r="D97" s="4" t="inlineStr">
        <is>
          <t>U-DEMO-05</t>
        </is>
      </c>
      <c r="E97" s="4" t="inlineStr">
        <is>
          <t>ปิยะ ขยันดี</t>
        </is>
      </c>
      <c r="F97" s="4" t="inlineStr">
        <is>
          <t>SAMYAN</t>
        </is>
      </c>
      <c r="G97" s="4" t="n">
        <v>1</v>
      </c>
      <c r="H97" s="4" t="inlineStr">
        <is>
          <t>C2-006</t>
        </is>
      </c>
      <c r="I97" s="4" t="n">
        <v>1</v>
      </c>
      <c r="J97" s="4" t="n">
        <v>2</v>
      </c>
      <c r="K97" s="4" t="inlineStr">
        <is>
          <t>ง่าย</t>
        </is>
      </c>
      <c r="L97" s="4" t="b">
        <v>0</v>
      </c>
      <c r="M97" s="4" t="inlineStr">
        <is>
          <t>ง</t>
        </is>
      </c>
      <c r="N97" s="4" t="inlineStr">
        <is>
          <t>ง</t>
        </is>
      </c>
      <c r="O97" s="4" t="b">
        <v>1</v>
      </c>
      <c r="P97" s="4" t="n">
        <v>2</v>
      </c>
      <c r="Q97" s="4" t="n">
        <v>44</v>
      </c>
      <c r="R97" s="4" t="n"/>
    </row>
    <row r="98">
      <c r="A98" s="13" t="n">
        <v>46338.56203703704</v>
      </c>
      <c r="B98" s="11" t="n">
        <v>46338</v>
      </c>
      <c r="C98" s="4" t="n">
        <v>1</v>
      </c>
      <c r="D98" s="4" t="inlineStr">
        <is>
          <t>U-DEMO-05</t>
        </is>
      </c>
      <c r="E98" s="4" t="inlineStr">
        <is>
          <t>ปิยะ ขยันดี</t>
        </is>
      </c>
      <c r="F98" s="4" t="inlineStr">
        <is>
          <t>SAMYAN</t>
        </is>
      </c>
      <c r="G98" s="4" t="n">
        <v>2</v>
      </c>
      <c r="H98" s="4" t="inlineStr">
        <is>
          <t>C2-002</t>
        </is>
      </c>
      <c r="I98" s="4" t="n">
        <v>1</v>
      </c>
      <c r="J98" s="4" t="n">
        <v>2</v>
      </c>
      <c r="K98" s="4" t="inlineStr">
        <is>
          <t>ง่าย</t>
        </is>
      </c>
      <c r="L98" s="4" t="b">
        <v>0</v>
      </c>
      <c r="M98" s="4" t="inlineStr">
        <is>
          <t>ก</t>
        </is>
      </c>
      <c r="N98" s="4" t="inlineStr">
        <is>
          <t>ข</t>
        </is>
      </c>
      <c r="O98" s="4" t="b">
        <v>0</v>
      </c>
      <c r="P98" s="4" t="n">
        <v>1</v>
      </c>
      <c r="Q98" s="4" t="n">
        <v>53</v>
      </c>
      <c r="R98" s="4" t="n"/>
    </row>
    <row r="99">
      <c r="A99" s="13" t="n">
        <v>46338.5625</v>
      </c>
      <c r="B99" s="11" t="n">
        <v>46338</v>
      </c>
      <c r="C99" s="4" t="n">
        <v>1</v>
      </c>
      <c r="D99" s="4" t="inlineStr">
        <is>
          <t>U-DEMO-05</t>
        </is>
      </c>
      <c r="E99" s="4" t="inlineStr">
        <is>
          <t>ปิยะ ขยันดี</t>
        </is>
      </c>
      <c r="F99" s="4" t="inlineStr">
        <is>
          <t>SAMYAN</t>
        </is>
      </c>
      <c r="G99" s="4" t="n">
        <v>3</v>
      </c>
      <c r="H99" s="4" t="inlineStr">
        <is>
          <t>C1-004</t>
        </is>
      </c>
      <c r="I99" s="4" t="n">
        <v>1</v>
      </c>
      <c r="J99" s="4" t="n">
        <v>1</v>
      </c>
      <c r="K99" s="4" t="inlineStr">
        <is>
          <t>กลาง</t>
        </is>
      </c>
      <c r="L99" s="4" t="b">
        <v>0</v>
      </c>
      <c r="M99" s="4" t="inlineStr">
        <is>
          <t>ค</t>
        </is>
      </c>
      <c r="N99" s="4" t="inlineStr">
        <is>
          <t>ค</t>
        </is>
      </c>
      <c r="O99" s="4" t="b">
        <v>1</v>
      </c>
      <c r="P99" s="4" t="n">
        <v>2</v>
      </c>
      <c r="Q99" s="4" t="n">
        <v>39</v>
      </c>
      <c r="R99" s="4" t="n"/>
    </row>
    <row r="100">
      <c r="A100" s="13" t="n">
        <v>46338.56296296296</v>
      </c>
      <c r="B100" s="11" t="n">
        <v>46338</v>
      </c>
      <c r="C100" s="4" t="n">
        <v>1</v>
      </c>
      <c r="D100" s="4" t="inlineStr">
        <is>
          <t>U-DEMO-05</t>
        </is>
      </c>
      <c r="E100" s="4" t="inlineStr">
        <is>
          <t>ปิยะ ขยันดี</t>
        </is>
      </c>
      <c r="F100" s="4" t="inlineStr">
        <is>
          <t>SAMYAN</t>
        </is>
      </c>
      <c r="G100" s="4" t="n">
        <v>4</v>
      </c>
      <c r="H100" s="4" t="inlineStr">
        <is>
          <t>C1-002</t>
        </is>
      </c>
      <c r="I100" s="4" t="n">
        <v>1</v>
      </c>
      <c r="J100" s="4" t="n">
        <v>1</v>
      </c>
      <c r="K100" s="4" t="inlineStr">
        <is>
          <t>ง่าย</t>
        </is>
      </c>
      <c r="L100" s="4" t="b">
        <v>0</v>
      </c>
      <c r="M100" s="4" t="inlineStr">
        <is>
          <t>ค</t>
        </is>
      </c>
      <c r="N100" s="4" t="inlineStr">
        <is>
          <t>ค</t>
        </is>
      </c>
      <c r="O100" s="4" t="b">
        <v>1</v>
      </c>
      <c r="P100" s="4" t="n">
        <v>1</v>
      </c>
      <c r="Q100" s="4" t="n">
        <v>39</v>
      </c>
      <c r="R100" s="4" t="n"/>
    </row>
    <row r="101">
      <c r="A101" s="13" t="n">
        <v>46338.56342592592</v>
      </c>
      <c r="B101" s="11" t="n">
        <v>46338</v>
      </c>
      <c r="C101" s="4" t="n">
        <v>1</v>
      </c>
      <c r="D101" s="4" t="inlineStr">
        <is>
          <t>U-DEMO-05</t>
        </is>
      </c>
      <c r="E101" s="4" t="inlineStr">
        <is>
          <t>ปิยะ ขยันดี</t>
        </is>
      </c>
      <c r="F101" s="4" t="inlineStr">
        <is>
          <t>SAMYAN</t>
        </is>
      </c>
      <c r="G101" s="4" t="n">
        <v>5</v>
      </c>
      <c r="H101" s="4" t="inlineStr">
        <is>
          <t>C1-012</t>
        </is>
      </c>
      <c r="I101" s="4" t="n">
        <v>1</v>
      </c>
      <c r="J101" s="4" t="n">
        <v>1</v>
      </c>
      <c r="K101" s="4" t="inlineStr">
        <is>
          <t>ง่าย</t>
        </is>
      </c>
      <c r="L101" s="4" t="b">
        <v>0</v>
      </c>
      <c r="M101" s="4" t="inlineStr">
        <is>
          <t>ค</t>
        </is>
      </c>
      <c r="N101" s="4" t="inlineStr">
        <is>
          <t>ค</t>
        </is>
      </c>
      <c r="O101" s="4" t="b">
        <v>1</v>
      </c>
      <c r="P101" s="4" t="n">
        <v>2</v>
      </c>
      <c r="Q101" s="4" t="n">
        <v>24</v>
      </c>
      <c r="R101" s="4" t="n"/>
    </row>
    <row r="102">
      <c r="A102" s="13" t="n">
        <v>46337.39837962963</v>
      </c>
      <c r="B102" s="11" t="n">
        <v>46337</v>
      </c>
      <c r="C102" s="4" t="n">
        <v>1</v>
      </c>
      <c r="D102" s="4" t="inlineStr">
        <is>
          <t>U-DEMO-06</t>
        </is>
      </c>
      <c r="E102" s="4" t="inlineStr">
        <is>
          <t>อรทัย สุขสันต์</t>
        </is>
      </c>
      <c r="F102" s="4" t="inlineStr">
        <is>
          <t>SAMYAN</t>
        </is>
      </c>
      <c r="G102" s="4" t="n">
        <v>1</v>
      </c>
      <c r="H102" s="4" t="inlineStr">
        <is>
          <t>C1-007</t>
        </is>
      </c>
      <c r="I102" s="4" t="n">
        <v>1</v>
      </c>
      <c r="J102" s="4" t="n">
        <v>1</v>
      </c>
      <c r="K102" s="4" t="inlineStr">
        <is>
          <t>ง่าย</t>
        </is>
      </c>
      <c r="L102" s="4" t="b">
        <v>1</v>
      </c>
      <c r="M102" s="4" t="inlineStr">
        <is>
          <t>ค</t>
        </is>
      </c>
      <c r="N102" s="4" t="inlineStr">
        <is>
          <t>ค</t>
        </is>
      </c>
      <c r="O102" s="4" t="b">
        <v>1</v>
      </c>
      <c r="P102" s="4" t="n">
        <v>1</v>
      </c>
      <c r="Q102" s="4" t="n">
        <v>21</v>
      </c>
      <c r="R102" s="4" t="n"/>
    </row>
    <row r="103">
      <c r="A103" s="13" t="n">
        <v>46337.39884259259</v>
      </c>
      <c r="B103" s="11" t="n">
        <v>46337</v>
      </c>
      <c r="C103" s="4" t="n">
        <v>1</v>
      </c>
      <c r="D103" s="4" t="inlineStr">
        <is>
          <t>U-DEMO-06</t>
        </is>
      </c>
      <c r="E103" s="4" t="inlineStr">
        <is>
          <t>อรทัย สุขสันต์</t>
        </is>
      </c>
      <c r="F103" s="4" t="inlineStr">
        <is>
          <t>SAMYAN</t>
        </is>
      </c>
      <c r="G103" s="4" t="n">
        <v>2</v>
      </c>
      <c r="H103" s="4" t="inlineStr">
        <is>
          <t>C2-003</t>
        </is>
      </c>
      <c r="I103" s="4" t="n">
        <v>1</v>
      </c>
      <c r="J103" s="4" t="n">
        <v>2</v>
      </c>
      <c r="K103" s="4" t="inlineStr">
        <is>
          <t>กลาง</t>
        </is>
      </c>
      <c r="L103" s="4" t="b">
        <v>0</v>
      </c>
      <c r="M103" s="4" t="inlineStr">
        <is>
          <t>ก</t>
        </is>
      </c>
      <c r="N103" s="4" t="inlineStr">
        <is>
          <t>ง</t>
        </is>
      </c>
      <c r="O103" s="4" t="b">
        <v>0</v>
      </c>
      <c r="P103" s="4" t="n">
        <v>1</v>
      </c>
      <c r="Q103" s="4" t="n">
        <v>24</v>
      </c>
      <c r="R103" s="4" t="n"/>
    </row>
    <row r="104">
      <c r="A104" s="13" t="n">
        <v>46337.39930555555</v>
      </c>
      <c r="B104" s="11" t="n">
        <v>46337</v>
      </c>
      <c r="C104" s="4" t="n">
        <v>1</v>
      </c>
      <c r="D104" s="4" t="inlineStr">
        <is>
          <t>U-DEMO-06</t>
        </is>
      </c>
      <c r="E104" s="4" t="inlineStr">
        <is>
          <t>อรทัย สุขสันต์</t>
        </is>
      </c>
      <c r="F104" s="4" t="inlineStr">
        <is>
          <t>SAMYAN</t>
        </is>
      </c>
      <c r="G104" s="4" t="n">
        <v>3</v>
      </c>
      <c r="H104" s="4" t="inlineStr">
        <is>
          <t>C2-008</t>
        </is>
      </c>
      <c r="I104" s="4" t="n">
        <v>1</v>
      </c>
      <c r="J104" s="4" t="n">
        <v>2</v>
      </c>
      <c r="K104" s="4" t="inlineStr">
        <is>
          <t>กลาง</t>
        </is>
      </c>
      <c r="L104" s="4" t="b">
        <v>0</v>
      </c>
      <c r="M104" s="4" t="inlineStr">
        <is>
          <t>ค</t>
        </is>
      </c>
      <c r="N104" s="4" t="inlineStr">
        <is>
          <t>ค</t>
        </is>
      </c>
      <c r="O104" s="4" t="b">
        <v>1</v>
      </c>
      <c r="P104" s="4" t="n">
        <v>1</v>
      </c>
      <c r="Q104" s="4" t="n">
        <v>53</v>
      </c>
      <c r="R104" s="4" t="n"/>
    </row>
    <row r="105">
      <c r="A105" s="13" t="n">
        <v>46337.39976851852</v>
      </c>
      <c r="B105" s="11" t="n">
        <v>46337</v>
      </c>
      <c r="C105" s="4" t="n">
        <v>1</v>
      </c>
      <c r="D105" s="4" t="inlineStr">
        <is>
          <t>U-DEMO-06</t>
        </is>
      </c>
      <c r="E105" s="4" t="inlineStr">
        <is>
          <t>อรทัย สุขสันต์</t>
        </is>
      </c>
      <c r="F105" s="4" t="inlineStr">
        <is>
          <t>SAMYAN</t>
        </is>
      </c>
      <c r="G105" s="4" t="n">
        <v>4</v>
      </c>
      <c r="H105" s="4" t="inlineStr">
        <is>
          <t>C1-004</t>
        </is>
      </c>
      <c r="I105" s="4" t="n">
        <v>1</v>
      </c>
      <c r="J105" s="4" t="n">
        <v>1</v>
      </c>
      <c r="K105" s="4" t="inlineStr">
        <is>
          <t>กลาง</t>
        </is>
      </c>
      <c r="L105" s="4" t="b">
        <v>0</v>
      </c>
      <c r="M105" s="4" t="inlineStr">
        <is>
          <t>ง</t>
        </is>
      </c>
      <c r="N105" s="4" t="inlineStr">
        <is>
          <t>ค</t>
        </is>
      </c>
      <c r="O105" s="4" t="b">
        <v>0</v>
      </c>
      <c r="P105" s="4" t="n">
        <v>1</v>
      </c>
      <c r="Q105" s="4" t="n">
        <v>44</v>
      </c>
      <c r="R105" s="4" t="n"/>
    </row>
    <row r="106">
      <c r="A106" s="13" t="n">
        <v>46337.40023148148</v>
      </c>
      <c r="B106" s="11" t="n">
        <v>46337</v>
      </c>
      <c r="C106" s="4" t="n">
        <v>1</v>
      </c>
      <c r="D106" s="4" t="inlineStr">
        <is>
          <t>U-DEMO-06</t>
        </is>
      </c>
      <c r="E106" s="4" t="inlineStr">
        <is>
          <t>อรทัย สุขสันต์</t>
        </is>
      </c>
      <c r="F106" s="4" t="inlineStr">
        <is>
          <t>SAMYAN</t>
        </is>
      </c>
      <c r="G106" s="4" t="n">
        <v>5</v>
      </c>
      <c r="H106" s="4" t="inlineStr">
        <is>
          <t>C2-001</t>
        </is>
      </c>
      <c r="I106" s="4" t="n">
        <v>1</v>
      </c>
      <c r="J106" s="4" t="n">
        <v>2</v>
      </c>
      <c r="K106" s="4" t="inlineStr">
        <is>
          <t>ง่าย</t>
        </is>
      </c>
      <c r="L106" s="4" t="b">
        <v>0</v>
      </c>
      <c r="M106" s="4" t="inlineStr">
        <is>
          <t>ก</t>
        </is>
      </c>
      <c r="N106" s="4" t="inlineStr">
        <is>
          <t>ง</t>
        </is>
      </c>
      <c r="O106" s="4" t="b">
        <v>0</v>
      </c>
      <c r="P106" s="4" t="n">
        <v>1</v>
      </c>
      <c r="Q106" s="4" t="n">
        <v>49</v>
      </c>
      <c r="R106" s="4" t="n"/>
    </row>
    <row r="107">
      <c r="A107" s="13" t="n">
        <v>46338.44282407407</v>
      </c>
      <c r="B107" s="11" t="n">
        <v>46338</v>
      </c>
      <c r="C107" s="4" t="n">
        <v>1</v>
      </c>
      <c r="D107" s="4" t="inlineStr">
        <is>
          <t>U-DEMO-06</t>
        </is>
      </c>
      <c r="E107" s="4" t="inlineStr">
        <is>
          <t>อรทัย สุขสันต์</t>
        </is>
      </c>
      <c r="F107" s="4" t="inlineStr">
        <is>
          <t>SAMYAN</t>
        </is>
      </c>
      <c r="G107" s="4" t="n">
        <v>1</v>
      </c>
      <c r="H107" s="4" t="inlineStr">
        <is>
          <t>C2-003</t>
        </is>
      </c>
      <c r="I107" s="4" t="n">
        <v>1</v>
      </c>
      <c r="J107" s="4" t="n">
        <v>2</v>
      </c>
      <c r="K107" s="4" t="inlineStr">
        <is>
          <t>กลาง</t>
        </is>
      </c>
      <c r="L107" s="4" t="b">
        <v>0</v>
      </c>
      <c r="M107" s="4" t="inlineStr">
        <is>
          <t>ง</t>
        </is>
      </c>
      <c r="N107" s="4" t="inlineStr">
        <is>
          <t>ข</t>
        </is>
      </c>
      <c r="O107" s="4" t="b">
        <v>0</v>
      </c>
      <c r="P107" s="4" t="n">
        <v>2</v>
      </c>
      <c r="Q107" s="4" t="n">
        <v>43</v>
      </c>
      <c r="R107" s="4" t="n"/>
    </row>
    <row r="108">
      <c r="A108" s="13" t="n">
        <v>46338.44328703704</v>
      </c>
      <c r="B108" s="11" t="n">
        <v>46338</v>
      </c>
      <c r="C108" s="4" t="n">
        <v>1</v>
      </c>
      <c r="D108" s="4" t="inlineStr">
        <is>
          <t>U-DEMO-06</t>
        </is>
      </c>
      <c r="E108" s="4" t="inlineStr">
        <is>
          <t>อรทัย สุขสันต์</t>
        </is>
      </c>
      <c r="F108" s="4" t="inlineStr">
        <is>
          <t>SAMYAN</t>
        </is>
      </c>
      <c r="G108" s="4" t="n">
        <v>2</v>
      </c>
      <c r="H108" s="4" t="inlineStr">
        <is>
          <t>C1-004</t>
        </is>
      </c>
      <c r="I108" s="4" t="n">
        <v>1</v>
      </c>
      <c r="J108" s="4" t="n">
        <v>1</v>
      </c>
      <c r="K108" s="4" t="inlineStr">
        <is>
          <t>กลาง</t>
        </is>
      </c>
      <c r="L108" s="4" t="b">
        <v>0</v>
      </c>
      <c r="M108" s="4" t="inlineStr">
        <is>
          <t>ง</t>
        </is>
      </c>
      <c r="N108" s="4" t="inlineStr">
        <is>
          <t>ง</t>
        </is>
      </c>
      <c r="O108" s="4" t="b">
        <v>1</v>
      </c>
      <c r="P108" s="4" t="n">
        <v>2</v>
      </c>
      <c r="Q108" s="4" t="n">
        <v>19</v>
      </c>
      <c r="R108" s="4" t="n"/>
    </row>
    <row r="109">
      <c r="A109" s="13" t="n">
        <v>46338.44375</v>
      </c>
      <c r="B109" s="11" t="n">
        <v>46338</v>
      </c>
      <c r="C109" s="4" t="n">
        <v>1</v>
      </c>
      <c r="D109" s="4" t="inlineStr">
        <is>
          <t>U-DEMO-06</t>
        </is>
      </c>
      <c r="E109" s="4" t="inlineStr">
        <is>
          <t>อรทัย สุขสันต์</t>
        </is>
      </c>
      <c r="F109" s="4" t="inlineStr">
        <is>
          <t>SAMYAN</t>
        </is>
      </c>
      <c r="G109" s="4" t="n">
        <v>3</v>
      </c>
      <c r="H109" s="4" t="inlineStr">
        <is>
          <t>C2-011</t>
        </is>
      </c>
      <c r="I109" s="4" t="n">
        <v>1</v>
      </c>
      <c r="J109" s="4" t="n">
        <v>2</v>
      </c>
      <c r="K109" s="4" t="inlineStr">
        <is>
          <t>ง่าย</t>
        </is>
      </c>
      <c r="L109" s="4" t="b">
        <v>0</v>
      </c>
      <c r="M109" s="4" t="inlineStr">
        <is>
          <t>ก</t>
        </is>
      </c>
      <c r="N109" s="4" t="inlineStr">
        <is>
          <t>ก</t>
        </is>
      </c>
      <c r="O109" s="4" t="b">
        <v>1</v>
      </c>
      <c r="P109" s="4" t="n">
        <v>1</v>
      </c>
      <c r="Q109" s="4" t="n">
        <v>30</v>
      </c>
      <c r="R109" s="4" t="n"/>
    </row>
    <row r="110">
      <c r="A110" s="13" t="n">
        <v>46338.44421296296</v>
      </c>
      <c r="B110" s="11" t="n">
        <v>46338</v>
      </c>
      <c r="C110" s="4" t="n">
        <v>1</v>
      </c>
      <c r="D110" s="4" t="inlineStr">
        <is>
          <t>U-DEMO-06</t>
        </is>
      </c>
      <c r="E110" s="4" t="inlineStr">
        <is>
          <t>อรทัย สุขสันต์</t>
        </is>
      </c>
      <c r="F110" s="4" t="inlineStr">
        <is>
          <t>SAMYAN</t>
        </is>
      </c>
      <c r="G110" s="4" t="n">
        <v>4</v>
      </c>
      <c r="H110" s="4" t="inlineStr">
        <is>
          <t>C2-004</t>
        </is>
      </c>
      <c r="I110" s="4" t="n">
        <v>1</v>
      </c>
      <c r="J110" s="4" t="n">
        <v>2</v>
      </c>
      <c r="K110" s="4" t="inlineStr">
        <is>
          <t>กลาง</t>
        </is>
      </c>
      <c r="L110" s="4" t="b">
        <v>0</v>
      </c>
      <c r="M110" s="4" t="inlineStr">
        <is>
          <t>ก</t>
        </is>
      </c>
      <c r="N110" s="4" t="inlineStr">
        <is>
          <t>ก</t>
        </is>
      </c>
      <c r="O110" s="4" t="b">
        <v>1</v>
      </c>
      <c r="P110" s="4" t="n">
        <v>1</v>
      </c>
      <c r="Q110" s="4" t="n">
        <v>48</v>
      </c>
      <c r="R110" s="4" t="n"/>
    </row>
    <row r="111">
      <c r="A111" s="13" t="n">
        <v>46338.44467592592</v>
      </c>
      <c r="B111" s="11" t="n">
        <v>46338</v>
      </c>
      <c r="C111" s="4" t="n">
        <v>1</v>
      </c>
      <c r="D111" s="4" t="inlineStr">
        <is>
          <t>U-DEMO-06</t>
        </is>
      </c>
      <c r="E111" s="4" t="inlineStr">
        <is>
          <t>อรทัย สุขสันต์</t>
        </is>
      </c>
      <c r="F111" s="4" t="inlineStr">
        <is>
          <t>SAMYAN</t>
        </is>
      </c>
      <c r="G111" s="4" t="n">
        <v>5</v>
      </c>
      <c r="H111" s="4" t="inlineStr">
        <is>
          <t>C1-003</t>
        </is>
      </c>
      <c r="I111" s="4" t="n">
        <v>1</v>
      </c>
      <c r="J111" s="4" t="n">
        <v>1</v>
      </c>
      <c r="K111" s="4" t="inlineStr">
        <is>
          <t>กลาง</t>
        </is>
      </c>
      <c r="L111" s="4" t="b">
        <v>0</v>
      </c>
      <c r="M111" s="4" t="inlineStr">
        <is>
          <t>ค</t>
        </is>
      </c>
      <c r="N111" s="4" t="inlineStr">
        <is>
          <t>ข</t>
        </is>
      </c>
      <c r="O111" s="4" t="b">
        <v>0</v>
      </c>
      <c r="P111" s="4" t="n">
        <v>1</v>
      </c>
      <c r="Q111" s="4" t="n">
        <v>12</v>
      </c>
      <c r="R111" s="4" t="n"/>
    </row>
    <row r="112">
      <c r="A112" s="13" t="n">
        <v>46342.62893518519</v>
      </c>
      <c r="B112" s="11" t="n">
        <v>46342</v>
      </c>
      <c r="C112" s="4" t="n">
        <v>2</v>
      </c>
      <c r="D112" s="4" t="inlineStr">
        <is>
          <t>U-DEMO-06</t>
        </is>
      </c>
      <c r="E112" s="4" t="inlineStr">
        <is>
          <t>อรทัย สุขสันต์</t>
        </is>
      </c>
      <c r="F112" s="4" t="inlineStr">
        <is>
          <t>SAMYAN</t>
        </is>
      </c>
      <c r="G112" s="4" t="n">
        <v>1</v>
      </c>
      <c r="H112" s="4" t="inlineStr">
        <is>
          <t>C4-005</t>
        </is>
      </c>
      <c r="I112" s="4" t="n">
        <v>1</v>
      </c>
      <c r="J112" s="4" t="n">
        <v>4</v>
      </c>
      <c r="K112" s="4" t="inlineStr">
        <is>
          <t>ยาก</t>
        </is>
      </c>
      <c r="L112" s="4" t="b">
        <v>0</v>
      </c>
      <c r="M112" s="4" t="inlineStr">
        <is>
          <t>ง</t>
        </is>
      </c>
      <c r="N112" s="4" t="inlineStr">
        <is>
          <t>ค</t>
        </is>
      </c>
      <c r="O112" s="4" t="b">
        <v>0</v>
      </c>
      <c r="P112" s="4" t="n">
        <v>1</v>
      </c>
      <c r="Q112" s="4" t="n">
        <v>30</v>
      </c>
      <c r="R112" s="4" t="n"/>
    </row>
    <row r="113">
      <c r="A113" s="13" t="n">
        <v>46342.62939814815</v>
      </c>
      <c r="B113" s="11" t="n">
        <v>46342</v>
      </c>
      <c r="C113" s="4" t="n">
        <v>2</v>
      </c>
      <c r="D113" s="4" t="inlineStr">
        <is>
          <t>U-DEMO-06</t>
        </is>
      </c>
      <c r="E113" s="4" t="inlineStr">
        <is>
          <t>อรทัย สุขสันต์</t>
        </is>
      </c>
      <c r="F113" s="4" t="inlineStr">
        <is>
          <t>SAMYAN</t>
        </is>
      </c>
      <c r="G113" s="4" t="n">
        <v>2</v>
      </c>
      <c r="H113" s="4" t="inlineStr">
        <is>
          <t>C3-012</t>
        </is>
      </c>
      <c r="I113" s="4" t="n">
        <v>1</v>
      </c>
      <c r="J113" s="4" t="n">
        <v>3</v>
      </c>
      <c r="K113" s="4" t="inlineStr">
        <is>
          <t>ง่าย</t>
        </is>
      </c>
      <c r="L113" s="4" t="b">
        <v>0</v>
      </c>
      <c r="M113" s="4" t="inlineStr">
        <is>
          <t>ข</t>
        </is>
      </c>
      <c r="N113" s="4" t="inlineStr">
        <is>
          <t>ค</t>
        </is>
      </c>
      <c r="O113" s="4" t="b">
        <v>0</v>
      </c>
      <c r="P113" s="4" t="n">
        <v>1</v>
      </c>
      <c r="Q113" s="4" t="n">
        <v>15</v>
      </c>
      <c r="R113" s="4" t="n"/>
    </row>
    <row r="114">
      <c r="A114" s="13" t="n">
        <v>46342.62986111111</v>
      </c>
      <c r="B114" s="11" t="n">
        <v>46342</v>
      </c>
      <c r="C114" s="4" t="n">
        <v>2</v>
      </c>
      <c r="D114" s="4" t="inlineStr">
        <is>
          <t>U-DEMO-06</t>
        </is>
      </c>
      <c r="E114" s="4" t="inlineStr">
        <is>
          <t>อรทัย สุขสันต์</t>
        </is>
      </c>
      <c r="F114" s="4" t="inlineStr">
        <is>
          <t>SAMYAN</t>
        </is>
      </c>
      <c r="G114" s="4" t="n">
        <v>3</v>
      </c>
      <c r="H114" s="4" t="inlineStr">
        <is>
          <t>C3-011</t>
        </is>
      </c>
      <c r="I114" s="4" t="n">
        <v>1</v>
      </c>
      <c r="J114" s="4" t="n">
        <v>3</v>
      </c>
      <c r="K114" s="4" t="inlineStr">
        <is>
          <t>ง่าย</t>
        </is>
      </c>
      <c r="L114" s="4" t="b">
        <v>0</v>
      </c>
      <c r="M114" s="4" t="inlineStr">
        <is>
          <t>ก</t>
        </is>
      </c>
      <c r="N114" s="4" t="inlineStr">
        <is>
          <t>ง</t>
        </is>
      </c>
      <c r="O114" s="4" t="b">
        <v>0</v>
      </c>
      <c r="P114" s="4" t="n">
        <v>1</v>
      </c>
      <c r="Q114" s="4" t="n">
        <v>31</v>
      </c>
      <c r="R114" s="4" t="n"/>
    </row>
    <row r="115">
      <c r="A115" s="13" t="n">
        <v>46342.63032407407</v>
      </c>
      <c r="B115" s="11" t="n">
        <v>46342</v>
      </c>
      <c r="C115" s="4" t="n">
        <v>2</v>
      </c>
      <c r="D115" s="4" t="inlineStr">
        <is>
          <t>U-DEMO-06</t>
        </is>
      </c>
      <c r="E115" s="4" t="inlineStr">
        <is>
          <t>อรทัย สุขสันต์</t>
        </is>
      </c>
      <c r="F115" s="4" t="inlineStr">
        <is>
          <t>SAMYAN</t>
        </is>
      </c>
      <c r="G115" s="4" t="n">
        <v>4</v>
      </c>
      <c r="H115" s="4" t="inlineStr">
        <is>
          <t>C3-006</t>
        </is>
      </c>
      <c r="I115" s="4" t="n">
        <v>1</v>
      </c>
      <c r="J115" s="4" t="n">
        <v>3</v>
      </c>
      <c r="K115" s="4" t="inlineStr">
        <is>
          <t>ง่าย</t>
        </is>
      </c>
      <c r="L115" s="4" t="b">
        <v>0</v>
      </c>
      <c r="M115" s="4" t="inlineStr">
        <is>
          <t>ง</t>
        </is>
      </c>
      <c r="N115" s="4" t="inlineStr">
        <is>
          <t>ง</t>
        </is>
      </c>
      <c r="O115" s="4" t="b">
        <v>1</v>
      </c>
      <c r="P115" s="4" t="n">
        <v>1</v>
      </c>
      <c r="Q115" s="4" t="n">
        <v>30</v>
      </c>
      <c r="R115" s="4" t="n"/>
    </row>
    <row r="116">
      <c r="A116" s="13" t="n">
        <v>46342.63078703704</v>
      </c>
      <c r="B116" s="11" t="n">
        <v>46342</v>
      </c>
      <c r="C116" s="4" t="n">
        <v>2</v>
      </c>
      <c r="D116" s="4" t="inlineStr">
        <is>
          <t>U-DEMO-06</t>
        </is>
      </c>
      <c r="E116" s="4" t="inlineStr">
        <is>
          <t>อรทัย สุขสันต์</t>
        </is>
      </c>
      <c r="F116" s="4" t="inlineStr">
        <is>
          <t>SAMYAN</t>
        </is>
      </c>
      <c r="G116" s="4" t="n">
        <v>5</v>
      </c>
      <c r="H116" s="4" t="inlineStr">
        <is>
          <t>C4-009</t>
        </is>
      </c>
      <c r="I116" s="4" t="n">
        <v>1</v>
      </c>
      <c r="J116" s="4" t="n">
        <v>4</v>
      </c>
      <c r="K116" s="4" t="inlineStr">
        <is>
          <t>กลาง</t>
        </is>
      </c>
      <c r="L116" s="4" t="b">
        <v>0</v>
      </c>
      <c r="M116" s="4" t="inlineStr">
        <is>
          <t>ค</t>
        </is>
      </c>
      <c r="N116" s="4" t="inlineStr">
        <is>
          <t>ง</t>
        </is>
      </c>
      <c r="O116" s="4" t="b">
        <v>0</v>
      </c>
      <c r="P116" s="4" t="n">
        <v>1</v>
      </c>
      <c r="Q116" s="4" t="n">
        <v>14</v>
      </c>
      <c r="R116" s="4" t="n"/>
    </row>
  </sheetData>
  <autoFilter ref="A1:R116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12" customWidth="1" min="3" max="3"/>
    <col width="16" customWidth="1" min="4" max="4"/>
    <col width="9" customWidth="1" min="5" max="5"/>
    <col width="9" customWidth="1" min="6" max="6"/>
    <col width="9" customWidth="1" min="7" max="7"/>
    <col width="14" customWidth="1" min="8" max="8"/>
    <col width="8" customWidth="1" min="9" max="9"/>
    <col width="10" customWidth="1" min="10" max="10"/>
    <col width="7" customWidth="1" min="11" max="11"/>
    <col width="9" customWidth="1" min="12" max="12"/>
    <col width="9" customWidth="1" min="13" max="13"/>
    <col width="9" customWidth="1" min="14" max="14"/>
    <col width="14" customWidth="1" min="15" max="15"/>
    <col width="9" customWidth="1" min="16" max="16"/>
    <col width="8" customWidth="1" min="17" max="17"/>
  </cols>
  <sheetData>
    <row r="1">
      <c r="A1" s="12" t="inlineStr">
        <is>
          <t>วันที่</t>
        </is>
      </c>
      <c r="B1" s="12" t="inlineStr">
        <is>
          <t>สัปดาห์</t>
        </is>
      </c>
      <c r="C1" s="12" t="inlineStr">
        <is>
          <t>user_id</t>
        </is>
      </c>
      <c r="D1" s="12" t="inlineStr">
        <is>
          <t>ชื่อ</t>
        </is>
      </c>
      <c r="E1" s="12" t="inlineStr">
        <is>
          <t>ทีม</t>
        </is>
      </c>
      <c r="F1" s="12" t="inlineStr">
        <is>
          <t>ควิซถูก (ข้อ)</t>
        </is>
      </c>
      <c r="G1" s="12" t="inlineStr">
        <is>
          <t>ได้เล่นเกม</t>
        </is>
      </c>
      <c r="H1" s="12" t="inlineStr">
        <is>
          <t>เกม</t>
        </is>
      </c>
      <c r="I1" s="12" t="inlineStr">
        <is>
          <t>เวลาเกม (วิ)</t>
        </is>
      </c>
      <c r="J1" s="12" t="inlineStr">
        <is>
          <t>คะแนนเกมดิบ 1–5</t>
        </is>
      </c>
      <c r="K1" s="12" t="inlineStr">
        <is>
          <t>ตัวคูณ</t>
        </is>
      </c>
      <c r="L1" s="12" t="inlineStr">
        <is>
          <t>Double Point</t>
        </is>
      </c>
      <c r="M1" s="12" t="inlineStr">
        <is>
          <t>Golden (+)</t>
        </is>
      </c>
      <c r="N1" s="12" t="inlineStr">
        <is>
          <t>โบนัสรายคน</t>
        </is>
      </c>
      <c r="O1" s="12" t="inlineStr">
        <is>
          <t>ชื่อโบนัส</t>
        </is>
      </c>
      <c r="P1" s="12" t="inlineStr">
        <is>
          <t>คะแนนเกม</t>
        </is>
      </c>
      <c r="Q1" s="12" t="inlineStr">
        <is>
          <t>รวมวัน</t>
        </is>
      </c>
    </row>
    <row r="2">
      <c r="A2" s="14" t="n">
        <v>46335</v>
      </c>
      <c r="B2" s="4" t="n">
        <v>1</v>
      </c>
      <c r="C2" s="4" t="inlineStr">
        <is>
          <t>U-DEMO-01</t>
        </is>
      </c>
      <c r="D2" s="4" t="inlineStr">
        <is>
          <t>สมชาย ใจดี</t>
        </is>
      </c>
      <c r="E2" s="4" t="inlineStr">
        <is>
          <t>FAC</t>
        </is>
      </c>
      <c r="F2" s="4" t="n">
        <v>3</v>
      </c>
      <c r="G2" s="4" t="b">
        <v>1</v>
      </c>
      <c r="H2" s="4" t="inlineStr">
        <is>
          <t>ตบใบชา</t>
        </is>
      </c>
      <c r="I2" s="4" t="n">
        <v>15</v>
      </c>
      <c r="J2" s="4" t="n">
        <v>3</v>
      </c>
      <c r="K2" s="4" t="n">
        <v>1.5</v>
      </c>
      <c r="L2" s="4" t="b">
        <v>0</v>
      </c>
      <c r="M2" s="4" t="n">
        <v>0</v>
      </c>
      <c r="N2" s="4" t="n">
        <v>0</v>
      </c>
      <c r="O2" s="4" t="inlineStr"/>
      <c r="P2" s="4">
        <f>ARRAYFORMULA(IF(C2:C="","",IF(G2:G,ROUNDUP(J2:J*K2:K,0),0)))</f>
        <v/>
      </c>
      <c r="Q2" s="4">
        <f>ARRAYFORMULA(IF(C2:C="","",(F2:F+P2:P)*IF(L2:L,2,1)+M2:M+N2:N))</f>
        <v/>
      </c>
    </row>
    <row r="3">
      <c r="A3" s="14" t="n">
        <v>46336</v>
      </c>
      <c r="B3" s="4" t="n">
        <v>1</v>
      </c>
      <c r="C3" s="4" t="inlineStr">
        <is>
          <t>U-DEMO-01</t>
        </is>
      </c>
      <c r="D3" s="4" t="inlineStr">
        <is>
          <t>สมชาย ใจดี</t>
        </is>
      </c>
      <c r="E3" s="4" t="inlineStr">
        <is>
          <t>FAC</t>
        </is>
      </c>
      <c r="F3" s="4" t="n">
        <v>4</v>
      </c>
      <c r="G3" s="4" t="b">
        <v>1</v>
      </c>
      <c r="H3" s="4" t="inlineStr">
        <is>
          <t>ตบใบชา</t>
        </is>
      </c>
      <c r="I3" s="4" t="n">
        <v>15</v>
      </c>
      <c r="J3" s="4" t="n">
        <v>2</v>
      </c>
      <c r="K3" s="4" t="n">
        <v>1.5</v>
      </c>
      <c r="L3" s="4" t="b">
        <v>0</v>
      </c>
      <c r="M3" s="4" t="n">
        <v>0</v>
      </c>
      <c r="N3" s="4" t="n">
        <v>0</v>
      </c>
      <c r="O3" s="4" t="inlineStr"/>
      <c r="P3" s="4" t="n"/>
      <c r="Q3" s="4" t="n"/>
    </row>
    <row r="4">
      <c r="A4" s="14" t="n">
        <v>46337</v>
      </c>
      <c r="B4" s="4" t="n">
        <v>1</v>
      </c>
      <c r="C4" s="4" t="inlineStr">
        <is>
          <t>U-DEMO-01</t>
        </is>
      </c>
      <c r="D4" s="4" t="inlineStr">
        <is>
          <t>สมชาย ใจดี</t>
        </is>
      </c>
      <c r="E4" s="4" t="inlineStr">
        <is>
          <t>FAC</t>
        </is>
      </c>
      <c r="F4" s="4" t="n">
        <v>4</v>
      </c>
      <c r="G4" s="4" t="b">
        <v>1</v>
      </c>
      <c r="H4" s="4" t="inlineStr">
        <is>
          <t>ตบใบชา</t>
        </is>
      </c>
      <c r="I4" s="4" t="n">
        <v>15</v>
      </c>
      <c r="J4" s="4" t="n">
        <v>2</v>
      </c>
      <c r="K4" s="4" t="n">
        <v>1.5</v>
      </c>
      <c r="L4" s="4" t="b">
        <v>0</v>
      </c>
      <c r="M4" s="4" t="n">
        <v>0</v>
      </c>
      <c r="N4" s="4" t="n">
        <v>0</v>
      </c>
      <c r="O4" s="4" t="inlineStr"/>
      <c r="P4" s="4" t="n"/>
      <c r="Q4" s="4" t="n"/>
    </row>
    <row r="5">
      <c r="A5" s="14" t="n">
        <v>46342</v>
      </c>
      <c r="B5" s="4" t="n">
        <v>2</v>
      </c>
      <c r="C5" s="4" t="inlineStr">
        <is>
          <t>U-DEMO-01</t>
        </is>
      </c>
      <c r="D5" s="4" t="inlineStr">
        <is>
          <t>สมชาย ใจดี</t>
        </is>
      </c>
      <c r="E5" s="4" t="inlineStr">
        <is>
          <t>FAC</t>
        </is>
      </c>
      <c r="F5" s="4" t="n">
        <v>4</v>
      </c>
      <c r="G5" s="4" t="b">
        <v>1</v>
      </c>
      <c r="H5" s="4" t="inlineStr">
        <is>
          <t>ตบใบชา</t>
        </is>
      </c>
      <c r="I5" s="4" t="n">
        <v>15</v>
      </c>
      <c r="J5" s="4" t="n">
        <v>4</v>
      </c>
      <c r="K5" s="4" t="n">
        <v>1.5</v>
      </c>
      <c r="L5" s="4" t="b">
        <v>0</v>
      </c>
      <c r="M5" s="4" t="n">
        <v>0</v>
      </c>
      <c r="N5" s="4" t="n">
        <v>0</v>
      </c>
      <c r="O5" s="4" t="inlineStr"/>
      <c r="P5" s="4" t="n"/>
      <c r="Q5" s="4" t="n"/>
    </row>
    <row r="6">
      <c r="A6" s="14" t="n">
        <v>46335</v>
      </c>
      <c r="B6" s="4" t="n">
        <v>1</v>
      </c>
      <c r="C6" s="4" t="inlineStr">
        <is>
          <t>U-DEMO-02</t>
        </is>
      </c>
      <c r="D6" s="4" t="inlineStr">
        <is>
          <t>สมหญิง รักอ่าน</t>
        </is>
      </c>
      <c r="E6" s="4" t="inlineStr">
        <is>
          <t>FAC</t>
        </is>
      </c>
      <c r="F6" s="4" t="n">
        <v>4</v>
      </c>
      <c r="G6" s="4" t="b">
        <v>1</v>
      </c>
      <c r="H6" s="4" t="inlineStr">
        <is>
          <t>ตบใบชา</t>
        </is>
      </c>
      <c r="I6" s="4" t="n">
        <v>15</v>
      </c>
      <c r="J6" s="4" t="n">
        <v>2</v>
      </c>
      <c r="K6" s="4" t="n">
        <v>1.5</v>
      </c>
      <c r="L6" s="4" t="b">
        <v>0</v>
      </c>
      <c r="M6" s="4" t="n">
        <v>0</v>
      </c>
      <c r="N6" s="4" t="n">
        <v>0</v>
      </c>
      <c r="O6" s="4" t="inlineStr"/>
      <c r="P6" s="4" t="n"/>
      <c r="Q6" s="4" t="n"/>
    </row>
    <row r="7">
      <c r="A7" s="14" t="n">
        <v>46336</v>
      </c>
      <c r="B7" s="4" t="n">
        <v>1</v>
      </c>
      <c r="C7" s="4" t="inlineStr">
        <is>
          <t>U-DEMO-02</t>
        </is>
      </c>
      <c r="D7" s="4" t="inlineStr">
        <is>
          <t>สมหญิง รักอ่าน</t>
        </is>
      </c>
      <c r="E7" s="4" t="inlineStr">
        <is>
          <t>FAC</t>
        </is>
      </c>
      <c r="F7" s="4" t="n">
        <v>3</v>
      </c>
      <c r="G7" s="4" t="b">
        <v>1</v>
      </c>
      <c r="H7" s="4" t="inlineStr">
        <is>
          <t>หาช่องสีเพี้ยน</t>
        </is>
      </c>
      <c r="I7" s="4" t="n">
        <v>15</v>
      </c>
      <c r="J7" s="4" t="n">
        <v>2</v>
      </c>
      <c r="K7" s="4" t="n">
        <v>1.5</v>
      </c>
      <c r="L7" s="4" t="b">
        <v>0</v>
      </c>
      <c r="M7" s="4" t="n">
        <v>0</v>
      </c>
      <c r="N7" s="4" t="n">
        <v>0</v>
      </c>
      <c r="O7" s="4" t="inlineStr"/>
      <c r="P7" s="4" t="n"/>
      <c r="Q7" s="4" t="n"/>
    </row>
    <row r="8">
      <c r="A8" s="14" t="n">
        <v>46337</v>
      </c>
      <c r="B8" s="4" t="n">
        <v>1</v>
      </c>
      <c r="C8" s="4" t="inlineStr">
        <is>
          <t>U-DEMO-02</t>
        </is>
      </c>
      <c r="D8" s="4" t="inlineStr">
        <is>
          <t>สมหญิง รักอ่าน</t>
        </is>
      </c>
      <c r="E8" s="4" t="inlineStr">
        <is>
          <t>FAC</t>
        </is>
      </c>
      <c r="F8" s="4" t="n">
        <v>3</v>
      </c>
      <c r="G8" s="4" t="b">
        <v>1</v>
      </c>
      <c r="H8" s="4" t="inlineStr">
        <is>
          <t>หาช่องสีเพี้ยน</t>
        </is>
      </c>
      <c r="I8" s="4" t="n">
        <v>15</v>
      </c>
      <c r="J8" s="4" t="n">
        <v>3</v>
      </c>
      <c r="K8" s="4" t="n">
        <v>1.5</v>
      </c>
      <c r="L8" s="4" t="b">
        <v>0</v>
      </c>
      <c r="M8" s="4" t="n">
        <v>0</v>
      </c>
      <c r="N8" s="4" t="n">
        <v>0</v>
      </c>
      <c r="O8" s="4" t="inlineStr"/>
      <c r="P8" s="4" t="n"/>
      <c r="Q8" s="4" t="n"/>
    </row>
    <row r="9">
      <c r="A9" s="14" t="n">
        <v>46338</v>
      </c>
      <c r="B9" s="4" t="n">
        <v>1</v>
      </c>
      <c r="C9" s="4" t="inlineStr">
        <is>
          <t>U-DEMO-02</t>
        </is>
      </c>
      <c r="D9" s="4" t="inlineStr">
        <is>
          <t>สมหญิง รักอ่าน</t>
        </is>
      </c>
      <c r="E9" s="4" t="inlineStr">
        <is>
          <t>FAC</t>
        </is>
      </c>
      <c r="F9" s="4" t="n">
        <v>4</v>
      </c>
      <c r="G9" s="4" t="b">
        <v>1</v>
      </c>
      <c r="H9" s="4" t="inlineStr">
        <is>
          <t>หาช่องสีเพี้ยน</t>
        </is>
      </c>
      <c r="I9" s="4" t="n">
        <v>15</v>
      </c>
      <c r="J9" s="4" t="n">
        <v>2</v>
      </c>
      <c r="K9" s="4" t="n">
        <v>1.5</v>
      </c>
      <c r="L9" s="4" t="b">
        <v>0</v>
      </c>
      <c r="M9" s="4" t="n">
        <v>0</v>
      </c>
      <c r="N9" s="4" t="n">
        <v>0</v>
      </c>
      <c r="O9" s="4" t="inlineStr"/>
      <c r="P9" s="4" t="n"/>
      <c r="Q9" s="4" t="n"/>
    </row>
    <row r="10">
      <c r="A10" s="14" t="n">
        <v>46342</v>
      </c>
      <c r="B10" s="4" t="n">
        <v>2</v>
      </c>
      <c r="C10" s="4" t="inlineStr">
        <is>
          <t>U-DEMO-02</t>
        </is>
      </c>
      <c r="D10" s="4" t="inlineStr">
        <is>
          <t>สมหญิง รักอ่าน</t>
        </is>
      </c>
      <c r="E10" s="4" t="inlineStr">
        <is>
          <t>FAC</t>
        </is>
      </c>
      <c r="F10" s="4" t="n">
        <v>2</v>
      </c>
      <c r="G10" s="4" t="b">
        <v>0</v>
      </c>
      <c r="H10" s="4" t="inlineStr"/>
      <c r="I10" s="4" t="n">
        <v>0</v>
      </c>
      <c r="J10" s="4" t="n">
        <v>0</v>
      </c>
      <c r="K10" s="4" t="n">
        <v>0</v>
      </c>
      <c r="L10" s="4" t="b">
        <v>0</v>
      </c>
      <c r="M10" s="4" t="n">
        <v>0</v>
      </c>
      <c r="N10" s="4" t="n">
        <v>0</v>
      </c>
      <c r="O10" s="4" t="inlineStr"/>
      <c r="P10" s="4" t="n"/>
      <c r="Q10" s="4" t="n"/>
    </row>
    <row r="11">
      <c r="A11" s="14" t="n">
        <v>46336</v>
      </c>
      <c r="B11" s="4" t="n">
        <v>1</v>
      </c>
      <c r="C11" s="4" t="inlineStr">
        <is>
          <t>U-DEMO-03</t>
        </is>
      </c>
      <c r="D11" s="4" t="inlineStr">
        <is>
          <t>วีระ กล้าหาญ</t>
        </is>
      </c>
      <c r="E11" s="4" t="inlineStr">
        <is>
          <t>WH</t>
        </is>
      </c>
      <c r="F11" s="4" t="n">
        <v>3</v>
      </c>
      <c r="G11" s="4" t="b">
        <v>1</v>
      </c>
      <c r="H11" s="4" t="inlineStr">
        <is>
          <t>ตบใบชา</t>
        </is>
      </c>
      <c r="I11" s="4" t="n">
        <v>15</v>
      </c>
      <c r="J11" s="4" t="n">
        <v>4</v>
      </c>
      <c r="K11" s="4" t="n">
        <v>1.5</v>
      </c>
      <c r="L11" s="4" t="b">
        <v>0</v>
      </c>
      <c r="M11" s="4" t="n">
        <v>0</v>
      </c>
      <c r="N11" s="4" t="n">
        <v>0</v>
      </c>
      <c r="O11" s="4" t="inlineStr"/>
      <c r="P11" s="4" t="n"/>
      <c r="Q11" s="4" t="n"/>
    </row>
    <row r="12">
      <c r="A12" s="14" t="n">
        <v>46337</v>
      </c>
      <c r="B12" s="4" t="n">
        <v>1</v>
      </c>
      <c r="C12" s="4" t="inlineStr">
        <is>
          <t>U-DEMO-03</t>
        </is>
      </c>
      <c r="D12" s="4" t="inlineStr">
        <is>
          <t>วีระ กล้าหาญ</t>
        </is>
      </c>
      <c r="E12" s="4" t="inlineStr">
        <is>
          <t>WH</t>
        </is>
      </c>
      <c r="F12" s="4" t="n">
        <v>4</v>
      </c>
      <c r="G12" s="4" t="b">
        <v>1</v>
      </c>
      <c r="H12" s="4" t="inlineStr">
        <is>
          <t>หาช่องสีเพี้ยน</t>
        </is>
      </c>
      <c r="I12" s="4" t="n">
        <v>15</v>
      </c>
      <c r="J12" s="4" t="n">
        <v>4</v>
      </c>
      <c r="K12" s="4" t="n">
        <v>1.5</v>
      </c>
      <c r="L12" s="4" t="b">
        <v>0</v>
      </c>
      <c r="M12" s="4" t="n">
        <v>0</v>
      </c>
      <c r="N12" s="4" t="n">
        <v>0</v>
      </c>
      <c r="O12" s="4" t="inlineStr"/>
      <c r="P12" s="4" t="n"/>
      <c r="Q12" s="4" t="n"/>
    </row>
    <row r="13">
      <c r="A13" s="14" t="n">
        <v>46338</v>
      </c>
      <c r="B13" s="4" t="n">
        <v>1</v>
      </c>
      <c r="C13" s="4" t="inlineStr">
        <is>
          <t>U-DEMO-03</t>
        </is>
      </c>
      <c r="D13" s="4" t="inlineStr">
        <is>
          <t>วีระ กล้าหาญ</t>
        </is>
      </c>
      <c r="E13" s="4" t="inlineStr">
        <is>
          <t>WH</t>
        </is>
      </c>
      <c r="F13" s="4" t="n">
        <v>2</v>
      </c>
      <c r="G13" s="4" t="b">
        <v>0</v>
      </c>
      <c r="H13" s="4" t="inlineStr"/>
      <c r="I13" s="4" t="n">
        <v>0</v>
      </c>
      <c r="J13" s="4" t="n">
        <v>0</v>
      </c>
      <c r="K13" s="4" t="n">
        <v>0</v>
      </c>
      <c r="L13" s="4" t="b">
        <v>0</v>
      </c>
      <c r="M13" s="4" t="n">
        <v>0</v>
      </c>
      <c r="N13" s="4" t="n">
        <v>0</v>
      </c>
      <c r="O13" s="4" t="inlineStr"/>
      <c r="P13" s="4" t="n"/>
      <c r="Q13" s="4" t="n"/>
    </row>
    <row r="14">
      <c r="A14" s="14" t="n">
        <v>46342</v>
      </c>
      <c r="B14" s="4" t="n">
        <v>2</v>
      </c>
      <c r="C14" s="4" t="inlineStr">
        <is>
          <t>U-DEMO-03</t>
        </is>
      </c>
      <c r="D14" s="4" t="inlineStr">
        <is>
          <t>วีระ กล้าหาญ</t>
        </is>
      </c>
      <c r="E14" s="4" t="inlineStr">
        <is>
          <t>WH</t>
        </is>
      </c>
      <c r="F14" s="4" t="n">
        <v>3</v>
      </c>
      <c r="G14" s="4" t="b">
        <v>1</v>
      </c>
      <c r="H14" s="4" t="inlineStr">
        <is>
          <t>หาช่องสีเพี้ยน</t>
        </is>
      </c>
      <c r="I14" s="4" t="n">
        <v>15</v>
      </c>
      <c r="J14" s="4" t="n">
        <v>3</v>
      </c>
      <c r="K14" s="4" t="n">
        <v>1.5</v>
      </c>
      <c r="L14" s="4" t="b">
        <v>0</v>
      </c>
      <c r="M14" s="4" t="n">
        <v>0</v>
      </c>
      <c r="N14" s="4" t="n">
        <v>0</v>
      </c>
      <c r="O14" s="4" t="inlineStr"/>
      <c r="P14" s="4" t="n"/>
      <c r="Q14" s="4" t="n"/>
    </row>
    <row r="15">
      <c r="A15" s="14" t="n">
        <v>46336</v>
      </c>
      <c r="B15" s="4" t="n">
        <v>1</v>
      </c>
      <c r="C15" s="4" t="inlineStr">
        <is>
          <t>U-DEMO-04</t>
        </is>
      </c>
      <c r="D15" s="4" t="inlineStr">
        <is>
          <t>มาลี ตั้งใจ</t>
        </is>
      </c>
      <c r="E15" s="4" t="inlineStr">
        <is>
          <t>WH</t>
        </is>
      </c>
      <c r="F15" s="4" t="n">
        <v>3</v>
      </c>
      <c r="G15" s="4" t="b">
        <v>1</v>
      </c>
      <c r="H15" s="4" t="inlineStr">
        <is>
          <t>หาช่องสีเพี้ยน</t>
        </is>
      </c>
      <c r="I15" s="4" t="n">
        <v>15</v>
      </c>
      <c r="J15" s="4" t="n">
        <v>4</v>
      </c>
      <c r="K15" s="4" t="n">
        <v>1.5</v>
      </c>
      <c r="L15" s="4" t="b">
        <v>0</v>
      </c>
      <c r="M15" s="4" t="n">
        <v>0</v>
      </c>
      <c r="N15" s="4" t="n">
        <v>0</v>
      </c>
      <c r="O15" s="4" t="inlineStr"/>
      <c r="P15" s="4" t="n"/>
      <c r="Q15" s="4" t="n"/>
    </row>
    <row r="16">
      <c r="A16" s="14" t="n">
        <v>46337</v>
      </c>
      <c r="B16" s="4" t="n">
        <v>1</v>
      </c>
      <c r="C16" s="4" t="inlineStr">
        <is>
          <t>U-DEMO-04</t>
        </is>
      </c>
      <c r="D16" s="4" t="inlineStr">
        <is>
          <t>มาลี ตั้งใจ</t>
        </is>
      </c>
      <c r="E16" s="4" t="inlineStr">
        <is>
          <t>WH</t>
        </is>
      </c>
      <c r="F16" s="4" t="n">
        <v>5</v>
      </c>
      <c r="G16" s="4" t="b">
        <v>1</v>
      </c>
      <c r="H16" s="4" t="inlineStr">
        <is>
          <t>ตบใบชา</t>
        </is>
      </c>
      <c r="I16" s="4" t="n">
        <v>20</v>
      </c>
      <c r="J16" s="4" t="n">
        <v>3</v>
      </c>
      <c r="K16" s="4" t="n">
        <v>2</v>
      </c>
      <c r="L16" s="4" t="b">
        <v>0</v>
      </c>
      <c r="M16" s="4" t="n">
        <v>0</v>
      </c>
      <c r="N16" s="4" t="n">
        <v>0</v>
      </c>
      <c r="O16" s="4" t="inlineStr"/>
      <c r="P16" s="4" t="n"/>
      <c r="Q16" s="4" t="n"/>
    </row>
    <row r="17">
      <c r="A17" s="14" t="n">
        <v>46338</v>
      </c>
      <c r="B17" s="4" t="n">
        <v>1</v>
      </c>
      <c r="C17" s="4" t="inlineStr">
        <is>
          <t>U-DEMO-04</t>
        </is>
      </c>
      <c r="D17" s="4" t="inlineStr">
        <is>
          <t>มาลี ตั้งใจ</t>
        </is>
      </c>
      <c r="E17" s="4" t="inlineStr">
        <is>
          <t>WH</t>
        </is>
      </c>
      <c r="F17" s="4" t="n">
        <v>4</v>
      </c>
      <c r="G17" s="4" t="b">
        <v>1</v>
      </c>
      <c r="H17" s="4" t="inlineStr">
        <is>
          <t>ตบใบชา</t>
        </is>
      </c>
      <c r="I17" s="4" t="n">
        <v>15</v>
      </c>
      <c r="J17" s="4" t="n">
        <v>3</v>
      </c>
      <c r="K17" s="4" t="n">
        <v>1.5</v>
      </c>
      <c r="L17" s="4" t="b">
        <v>0</v>
      </c>
      <c r="M17" s="4" t="n">
        <v>0</v>
      </c>
      <c r="N17" s="4" t="n">
        <v>0</v>
      </c>
      <c r="O17" s="4" t="inlineStr"/>
      <c r="P17" s="4" t="n"/>
      <c r="Q17" s="4" t="n"/>
    </row>
    <row r="18">
      <c r="A18" s="14" t="n">
        <v>46342</v>
      </c>
      <c r="B18" s="4" t="n">
        <v>2</v>
      </c>
      <c r="C18" s="4" t="inlineStr">
        <is>
          <t>U-DEMO-04</t>
        </is>
      </c>
      <c r="D18" s="4" t="inlineStr">
        <is>
          <t>มาลี ตั้งใจ</t>
        </is>
      </c>
      <c r="E18" s="4" t="inlineStr">
        <is>
          <t>WH</t>
        </is>
      </c>
      <c r="F18" s="4" t="n">
        <v>3</v>
      </c>
      <c r="G18" s="4" t="b">
        <v>1</v>
      </c>
      <c r="H18" s="4" t="inlineStr">
        <is>
          <t>ตบใบชา</t>
        </is>
      </c>
      <c r="I18" s="4" t="n">
        <v>15</v>
      </c>
      <c r="J18" s="4" t="n">
        <v>2</v>
      </c>
      <c r="K18" s="4" t="n">
        <v>1.5</v>
      </c>
      <c r="L18" s="4" t="b">
        <v>0</v>
      </c>
      <c r="M18" s="4" t="n">
        <v>0</v>
      </c>
      <c r="N18" s="4" t="n">
        <v>0</v>
      </c>
      <c r="O18" s="4" t="inlineStr"/>
      <c r="P18" s="4" t="n"/>
      <c r="Q18" s="4" t="n"/>
    </row>
    <row r="19">
      <c r="A19" s="14" t="n">
        <v>46335</v>
      </c>
      <c r="B19" s="4" t="n">
        <v>1</v>
      </c>
      <c r="C19" s="4" t="inlineStr">
        <is>
          <t>U-DEMO-05</t>
        </is>
      </c>
      <c r="D19" s="4" t="inlineStr">
        <is>
          <t>ปิยะ ขยันดี</t>
        </is>
      </c>
      <c r="E19" s="4" t="inlineStr">
        <is>
          <t>SAMYAN</t>
        </is>
      </c>
      <c r="F19" s="4" t="n">
        <v>5</v>
      </c>
      <c r="G19" s="4" t="b">
        <v>1</v>
      </c>
      <c r="H19" s="4" t="inlineStr">
        <is>
          <t>หาช่องสีเพี้ยน</t>
        </is>
      </c>
      <c r="I19" s="4" t="n">
        <v>20</v>
      </c>
      <c r="J19" s="4" t="n">
        <v>2</v>
      </c>
      <c r="K19" s="4" t="n">
        <v>2</v>
      </c>
      <c r="L19" s="4" t="b">
        <v>0</v>
      </c>
      <c r="M19" s="4" t="n">
        <v>0</v>
      </c>
      <c r="N19" s="4" t="n">
        <v>0</v>
      </c>
      <c r="O19" s="4" t="inlineStr"/>
      <c r="P19" s="4" t="n"/>
      <c r="Q19" s="4" t="n"/>
    </row>
    <row r="20">
      <c r="A20" s="14" t="n">
        <v>46337</v>
      </c>
      <c r="B20" s="4" t="n">
        <v>1</v>
      </c>
      <c r="C20" s="4" t="inlineStr">
        <is>
          <t>U-DEMO-05</t>
        </is>
      </c>
      <c r="D20" s="4" t="inlineStr">
        <is>
          <t>ปิยะ ขยันดี</t>
        </is>
      </c>
      <c r="E20" s="4" t="inlineStr">
        <is>
          <t>SAMYAN</t>
        </is>
      </c>
      <c r="F20" s="4" t="n">
        <v>5</v>
      </c>
      <c r="G20" s="4" t="b">
        <v>1</v>
      </c>
      <c r="H20" s="4" t="inlineStr">
        <is>
          <t>หาช่องสีเพี้ยน</t>
        </is>
      </c>
      <c r="I20" s="4" t="n">
        <v>20</v>
      </c>
      <c r="J20" s="4" t="n">
        <v>5</v>
      </c>
      <c r="K20" s="4" t="n">
        <v>2</v>
      </c>
      <c r="L20" s="4" t="b">
        <v>0</v>
      </c>
      <c r="M20" s="4" t="n">
        <v>0</v>
      </c>
      <c r="N20" s="4" t="n">
        <v>0</v>
      </c>
      <c r="O20" s="4" t="inlineStr"/>
      <c r="P20" s="4" t="n"/>
      <c r="Q20" s="4" t="n"/>
    </row>
    <row r="21">
      <c r="A21" s="14" t="n">
        <v>46338</v>
      </c>
      <c r="B21" s="4" t="n">
        <v>1</v>
      </c>
      <c r="C21" s="4" t="inlineStr">
        <is>
          <t>U-DEMO-05</t>
        </is>
      </c>
      <c r="D21" s="4" t="inlineStr">
        <is>
          <t>ปิยะ ขยันดี</t>
        </is>
      </c>
      <c r="E21" s="4" t="inlineStr">
        <is>
          <t>SAMYAN</t>
        </is>
      </c>
      <c r="F21" s="4" t="n">
        <v>4</v>
      </c>
      <c r="G21" s="4" t="b">
        <v>1</v>
      </c>
      <c r="H21" s="4" t="inlineStr">
        <is>
          <t>หาช่องสีเพี้ยน</t>
        </is>
      </c>
      <c r="I21" s="4" t="n">
        <v>15</v>
      </c>
      <c r="J21" s="4" t="n">
        <v>5</v>
      </c>
      <c r="K21" s="4" t="n">
        <v>1.5</v>
      </c>
      <c r="L21" s="4" t="b">
        <v>0</v>
      </c>
      <c r="M21" s="4" t="n">
        <v>0</v>
      </c>
      <c r="N21" s="4" t="n">
        <v>0</v>
      </c>
      <c r="O21" s="4" t="inlineStr"/>
      <c r="P21" s="4" t="n"/>
      <c r="Q21" s="4" t="n"/>
    </row>
    <row r="22">
      <c r="A22" s="14" t="n">
        <v>46337</v>
      </c>
      <c r="B22" s="4" t="n">
        <v>1</v>
      </c>
      <c r="C22" s="4" t="inlineStr">
        <is>
          <t>U-DEMO-06</t>
        </is>
      </c>
      <c r="D22" s="4" t="inlineStr">
        <is>
          <t>อรทัย สุขสันต์</t>
        </is>
      </c>
      <c r="E22" s="4" t="inlineStr">
        <is>
          <t>SAMYAN</t>
        </is>
      </c>
      <c r="F22" s="4" t="n">
        <v>2</v>
      </c>
      <c r="G22" s="4" t="b">
        <v>0</v>
      </c>
      <c r="H22" s="4" t="inlineStr"/>
      <c r="I22" s="4" t="n">
        <v>0</v>
      </c>
      <c r="J22" s="4" t="n">
        <v>0</v>
      </c>
      <c r="K22" s="4" t="n">
        <v>0</v>
      </c>
      <c r="L22" s="4" t="b">
        <v>0</v>
      </c>
      <c r="M22" s="4" t="n">
        <v>0</v>
      </c>
      <c r="N22" s="4" t="n">
        <v>0</v>
      </c>
      <c r="O22" s="4" t="inlineStr"/>
      <c r="P22" s="4" t="n"/>
      <c r="Q22" s="4" t="n"/>
    </row>
    <row r="23">
      <c r="A23" s="14" t="n">
        <v>46338</v>
      </c>
      <c r="B23" s="4" t="n">
        <v>1</v>
      </c>
      <c r="C23" s="4" t="inlineStr">
        <is>
          <t>U-DEMO-06</t>
        </is>
      </c>
      <c r="D23" s="4" t="inlineStr">
        <is>
          <t>อรทัย สุขสันต์</t>
        </is>
      </c>
      <c r="E23" s="4" t="inlineStr">
        <is>
          <t>SAMYAN</t>
        </is>
      </c>
      <c r="F23" s="4" t="n">
        <v>3</v>
      </c>
      <c r="G23" s="4" t="b">
        <v>1</v>
      </c>
      <c r="H23" s="4" t="inlineStr">
        <is>
          <t>ตบใบชา</t>
        </is>
      </c>
      <c r="I23" s="4" t="n">
        <v>15</v>
      </c>
      <c r="J23" s="4" t="n">
        <v>4</v>
      </c>
      <c r="K23" s="4" t="n">
        <v>1.5</v>
      </c>
      <c r="L23" s="4" t="b">
        <v>0</v>
      </c>
      <c r="M23" s="4" t="n">
        <v>0</v>
      </c>
      <c r="N23" s="4" t="n">
        <v>0</v>
      </c>
      <c r="O23" s="4" t="inlineStr"/>
      <c r="P23" s="4" t="n"/>
      <c r="Q23" s="4" t="n"/>
    </row>
    <row r="24">
      <c r="A24" s="14" t="n">
        <v>46342</v>
      </c>
      <c r="B24" s="4" t="n">
        <v>2</v>
      </c>
      <c r="C24" s="4" t="inlineStr">
        <is>
          <t>U-DEMO-06</t>
        </is>
      </c>
      <c r="D24" s="4" t="inlineStr">
        <is>
          <t>อรทัย สุขสันต์</t>
        </is>
      </c>
      <c r="E24" s="4" t="inlineStr">
        <is>
          <t>SAMYAN</t>
        </is>
      </c>
      <c r="F24" s="4" t="n">
        <v>1</v>
      </c>
      <c r="G24" s="4" t="b">
        <v>0</v>
      </c>
      <c r="H24" s="4" t="inlineStr"/>
      <c r="I24" s="4" t="n">
        <v>0</v>
      </c>
      <c r="J24" s="4" t="n">
        <v>0</v>
      </c>
      <c r="K24" s="4" t="n">
        <v>0</v>
      </c>
      <c r="L24" s="4" t="b">
        <v>0</v>
      </c>
      <c r="M24" s="4" t="n">
        <v>0</v>
      </c>
      <c r="N24" s="4" t="n">
        <v>0</v>
      </c>
      <c r="O24" s="4" t="inlineStr"/>
      <c r="P24" s="4" t="n"/>
      <c r="Q24" s="4" t="n"/>
    </row>
  </sheetData>
  <autoFilter ref="A1:Q24"/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9" customWidth="1" min="3" max="3"/>
    <col width="10" customWidth="1" min="4" max="4"/>
    <col width="10" customWidth="1" min="5" max="5"/>
    <col width="9" customWidth="1" min="6" max="6"/>
    <col width="10" customWidth="1" min="7" max="7"/>
    <col width="9" customWidth="1" min="8" max="8"/>
    <col width="8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12" customWidth="1" min="15" max="15"/>
  </cols>
  <sheetData>
    <row r="1">
      <c r="A1" s="12" t="inlineStr">
        <is>
          <t>user_id</t>
        </is>
      </c>
      <c r="B1" s="12" t="inlineStr">
        <is>
          <t>ชื่อ</t>
        </is>
      </c>
      <c r="C1" s="12" t="inlineStr">
        <is>
          <t>ทีม</t>
        </is>
      </c>
      <c r="D1" s="12" t="inlineStr">
        <is>
          <t>คะแนนรวม</t>
        </is>
      </c>
      <c r="E1" s="12" t="inlineStr">
        <is>
          <t>แรงค์</t>
        </is>
      </c>
      <c r="F1" s="12" t="inlineStr">
        <is>
          <t>วันที่เล่น</t>
        </is>
      </c>
      <c r="G1" s="12" t="inlineStr">
        <is>
          <t>ตอบทั้งหมด</t>
        </is>
      </c>
      <c r="H1" s="12" t="inlineStr">
        <is>
          <t>ตอบถูก</t>
        </is>
      </c>
      <c r="I1" s="12" t="inlineStr">
        <is>
          <t>% ถูก</t>
        </is>
      </c>
      <c r="J1" s="12" t="inlineStr">
        <is>
          <t>ถูกเฉลี่ย/วัน</t>
        </is>
      </c>
      <c r="K1" s="12" t="inlineStr">
        <is>
          <t>ได้เล่นเกม (วัน)</t>
        </is>
      </c>
      <c r="L1" s="12" t="inlineStr">
        <is>
          <t>ผิด→ถูก</t>
        </is>
      </c>
      <c r="M1" s="12" t="inlineStr">
        <is>
          <t>ผิดซ้ำ</t>
        </is>
      </c>
      <c r="N1" s="12" t="inlineStr">
        <is>
          <t>ถูก→ผิด</t>
        </is>
      </c>
      <c r="O1" s="12" t="inlineStr">
        <is>
          <t>เล่นล่าสุด</t>
        </is>
      </c>
    </row>
    <row r="2">
      <c r="A2" s="15" t="inlineStr">
        <is>
          <t>U-DEMO-01</t>
        </is>
      </c>
      <c r="B2" s="15" t="inlineStr">
        <is>
          <t>สมชาย ใจดี</t>
        </is>
      </c>
      <c r="C2" s="15" t="inlineStr">
        <is>
          <t>FAC</t>
        </is>
      </c>
      <c r="D2" s="4">
        <f>ARRAYFORMULA(IF(A2:A="","",SUMIFS(Daily!Q2:Q,Daily!C2:C,A2:A)))</f>
        <v/>
      </c>
      <c r="E2" s="4">
        <f>ARRAYFORMULA(IF(A2:A="","",LOOKUP(D2:D,'ตั้งค่า'!B2:B9,'ตั้งค่า'!A2:A9)))</f>
        <v/>
      </c>
      <c r="F2" s="4">
        <f>ARRAYFORMULA(IF(A2:A="","",COUNTIFS(Daily!C2:C,A2:A)))</f>
        <v/>
      </c>
      <c r="G2" s="4">
        <f>ARRAYFORMULA(IF(A2:A="","",COUNTIFS(Answers!D2:D,A2:A)))</f>
        <v/>
      </c>
      <c r="H2" s="4">
        <f>ARRAYFORMULA(IF(A2:A="","",COUNTIFS(Answers!D2:D,A2:A,Answers!O2:O,TRUE)))</f>
        <v/>
      </c>
      <c r="I2" s="9">
        <f>ARRAYFORMULA(IF(A2:A="","",IF(G2:G=0,0,H2:H/G2:G)))</f>
        <v/>
      </c>
      <c r="J2" s="10">
        <f>ARRAYFORMULA(IF(A2:A="","",IF(F2:F=0,0,H2:H/F2:F)))</f>
        <v/>
      </c>
      <c r="K2" s="4">
        <f>ARRAYFORMULA(IF(A2:A="","",COUNTIFS(Daily!C2:C,A2:A,Daily!G2:G,TRUE)))</f>
        <v/>
      </c>
      <c r="L2" s="4">
        <f>ARRAYFORMULA(IF(A2:A="","",COUNTIFS(Answers!D2:D,A2:A,Answers!R2:R,L1)))</f>
        <v/>
      </c>
      <c r="M2" s="4">
        <f>ARRAYFORMULA(IF(A2:A="","",COUNTIFS(Answers!D2:D,A2:A,Answers!R2:R,M1)))</f>
        <v/>
      </c>
      <c r="N2" s="4">
        <f>ARRAYFORMULA(IF(A2:A="","",COUNTIFS(Answers!D2:D,A2:A,Answers!R2:R,N1)))</f>
        <v/>
      </c>
      <c r="O2" s="11">
        <f>BYROW(A2:A,LAMBDA(u,IF(u="","",MAXIFS(Daily!A2:A,Daily!C2:C,u))))</f>
        <v/>
      </c>
    </row>
    <row r="3">
      <c r="A3" s="15" t="inlineStr">
        <is>
          <t>U-DEMO-02</t>
        </is>
      </c>
      <c r="B3" s="15" t="inlineStr">
        <is>
          <t>สมหญิง รักอ่าน</t>
        </is>
      </c>
      <c r="C3" s="15" t="inlineStr">
        <is>
          <t>FAC</t>
        </is>
      </c>
      <c r="D3" s="4" t="n"/>
      <c r="E3" s="4" t="n"/>
      <c r="F3" s="4" t="n"/>
      <c r="G3" s="4" t="n"/>
      <c r="H3" s="4" t="n"/>
      <c r="I3" s="9" t="n"/>
      <c r="J3" s="10" t="n"/>
      <c r="K3" s="4" t="n"/>
      <c r="L3" s="4" t="n"/>
      <c r="M3" s="4" t="n"/>
      <c r="N3" s="4" t="n"/>
      <c r="O3" s="11" t="n"/>
    </row>
    <row r="4">
      <c r="A4" s="15" t="inlineStr">
        <is>
          <t>U-DEMO-03</t>
        </is>
      </c>
      <c r="B4" s="15" t="inlineStr">
        <is>
          <t>วีระ กล้าหาญ</t>
        </is>
      </c>
      <c r="C4" s="15" t="inlineStr">
        <is>
          <t>WH</t>
        </is>
      </c>
      <c r="D4" s="4" t="n"/>
      <c r="E4" s="4" t="n"/>
      <c r="F4" s="4" t="n"/>
      <c r="G4" s="4" t="n"/>
      <c r="H4" s="4" t="n"/>
      <c r="I4" s="9" t="n"/>
      <c r="J4" s="10" t="n"/>
      <c r="K4" s="4" t="n"/>
      <c r="L4" s="4" t="n"/>
      <c r="M4" s="4" t="n"/>
      <c r="N4" s="4" t="n"/>
      <c r="O4" s="11" t="n"/>
    </row>
    <row r="5">
      <c r="A5" s="15" t="inlineStr">
        <is>
          <t>U-DEMO-04</t>
        </is>
      </c>
      <c r="B5" s="15" t="inlineStr">
        <is>
          <t>มาลี ตั้งใจ</t>
        </is>
      </c>
      <c r="C5" s="15" t="inlineStr">
        <is>
          <t>WH</t>
        </is>
      </c>
      <c r="D5" s="4" t="n"/>
      <c r="E5" s="4" t="n"/>
      <c r="F5" s="4" t="n"/>
      <c r="G5" s="4" t="n"/>
      <c r="H5" s="4" t="n"/>
      <c r="I5" s="9" t="n"/>
      <c r="J5" s="10" t="n"/>
      <c r="K5" s="4" t="n"/>
      <c r="L5" s="4" t="n"/>
      <c r="M5" s="4" t="n"/>
      <c r="N5" s="4" t="n"/>
      <c r="O5" s="11" t="n"/>
    </row>
    <row r="6">
      <c r="A6" s="15" t="inlineStr">
        <is>
          <t>U-DEMO-05</t>
        </is>
      </c>
      <c r="B6" s="15" t="inlineStr">
        <is>
          <t>ปิยะ ขยันดี</t>
        </is>
      </c>
      <c r="C6" s="15" t="inlineStr">
        <is>
          <t>SAMYAN</t>
        </is>
      </c>
      <c r="D6" s="4" t="n"/>
      <c r="E6" s="4" t="n"/>
      <c r="F6" s="4" t="n"/>
      <c r="G6" s="4" t="n"/>
      <c r="H6" s="4" t="n"/>
      <c r="I6" s="9" t="n"/>
      <c r="J6" s="10" t="n"/>
      <c r="K6" s="4" t="n"/>
      <c r="L6" s="4" t="n"/>
      <c r="M6" s="4" t="n"/>
      <c r="N6" s="4" t="n"/>
      <c r="O6" s="11" t="n"/>
    </row>
    <row r="7">
      <c r="A7" s="15" t="inlineStr">
        <is>
          <t>U-DEMO-06</t>
        </is>
      </c>
      <c r="B7" s="15" t="inlineStr">
        <is>
          <t>อรทัย สุขสันต์</t>
        </is>
      </c>
      <c r="C7" s="15" t="inlineStr">
        <is>
          <t>SAMYAN</t>
        </is>
      </c>
      <c r="D7" s="4" t="n"/>
      <c r="E7" s="4" t="n"/>
      <c r="F7" s="4" t="n"/>
      <c r="G7" s="4" t="n"/>
      <c r="H7" s="4" t="n"/>
      <c r="I7" s="9" t="n"/>
      <c r="J7" s="10" t="n"/>
      <c r="K7" s="4" t="n"/>
      <c r="L7" s="4" t="n"/>
      <c r="M7" s="4" t="n"/>
      <c r="N7" s="4" t="n"/>
      <c r="O7" s="11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9" t="n"/>
      <c r="J8" s="10" t="n"/>
      <c r="K8" s="4" t="n"/>
      <c r="L8" s="4" t="n"/>
      <c r="M8" s="4" t="n"/>
      <c r="N8" s="4" t="n"/>
      <c r="O8" s="11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9" t="n"/>
      <c r="J9" s="10" t="n"/>
      <c r="K9" s="4" t="n"/>
      <c r="L9" s="4" t="n"/>
      <c r="M9" s="4" t="n"/>
      <c r="N9" s="4" t="n"/>
      <c r="O9" s="11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9" t="n"/>
      <c r="J10" s="10" t="n"/>
      <c r="K10" s="4" t="n"/>
      <c r="L10" s="4" t="n"/>
      <c r="M10" s="4" t="n"/>
      <c r="N10" s="4" t="n"/>
      <c r="O10" s="11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9" t="n"/>
      <c r="J11" s="10" t="n"/>
      <c r="K11" s="4" t="n"/>
      <c r="L11" s="4" t="n"/>
      <c r="M11" s="4" t="n"/>
      <c r="N11" s="4" t="n"/>
      <c r="O11" s="11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9" t="n"/>
      <c r="J12" s="10" t="n"/>
      <c r="K12" s="4" t="n"/>
      <c r="L12" s="4" t="n"/>
      <c r="M12" s="4" t="n"/>
      <c r="N12" s="4" t="n"/>
      <c r="O12" s="11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9" t="n"/>
      <c r="J13" s="10" t="n"/>
      <c r="K13" s="4" t="n"/>
      <c r="L13" s="4" t="n"/>
      <c r="M13" s="4" t="n"/>
      <c r="N13" s="4" t="n"/>
      <c r="O13" s="11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9" t="n"/>
      <c r="J14" s="10" t="n"/>
      <c r="K14" s="4" t="n"/>
      <c r="L14" s="4" t="n"/>
      <c r="M14" s="4" t="n"/>
      <c r="N14" s="4" t="n"/>
      <c r="O14" s="11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9" t="n"/>
      <c r="J15" s="10" t="n"/>
      <c r="K15" s="4" t="n"/>
      <c r="L15" s="4" t="n"/>
      <c r="M15" s="4" t="n"/>
      <c r="N15" s="4" t="n"/>
      <c r="O15" s="11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9" t="n"/>
      <c r="J16" s="10" t="n"/>
      <c r="K16" s="4" t="n"/>
      <c r="L16" s="4" t="n"/>
      <c r="M16" s="4" t="n"/>
      <c r="N16" s="4" t="n"/>
      <c r="O16" s="11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9" t="n"/>
      <c r="J17" s="10" t="n"/>
      <c r="K17" s="4" t="n"/>
      <c r="L17" s="4" t="n"/>
      <c r="M17" s="4" t="n"/>
      <c r="N17" s="4" t="n"/>
      <c r="O17" s="11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9" t="n"/>
      <c r="J18" s="10" t="n"/>
      <c r="K18" s="4" t="n"/>
      <c r="L18" s="4" t="n"/>
      <c r="M18" s="4" t="n"/>
      <c r="N18" s="4" t="n"/>
      <c r="O18" s="11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9" t="n"/>
      <c r="J19" s="10" t="n"/>
      <c r="K19" s="4" t="n"/>
      <c r="L19" s="4" t="n"/>
      <c r="M19" s="4" t="n"/>
      <c r="N19" s="4" t="n"/>
      <c r="O19" s="11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9" t="n"/>
      <c r="J20" s="10" t="n"/>
      <c r="K20" s="4" t="n"/>
      <c r="L20" s="4" t="n"/>
      <c r="M20" s="4" t="n"/>
      <c r="N20" s="4" t="n"/>
      <c r="O20" s="11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9" t="n"/>
      <c r="J21" s="10" t="n"/>
      <c r="K21" s="4" t="n"/>
      <c r="L21" s="4" t="n"/>
      <c r="M21" s="4" t="n"/>
      <c r="N21" s="4" t="n"/>
      <c r="O21" s="11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9" t="n"/>
      <c r="J22" s="10" t="n"/>
      <c r="K22" s="4" t="n"/>
      <c r="L22" s="4" t="n"/>
      <c r="M22" s="4" t="n"/>
      <c r="N22" s="4" t="n"/>
      <c r="O22" s="11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9" t="n"/>
      <c r="J23" s="10" t="n"/>
      <c r="K23" s="4" t="n"/>
      <c r="L23" s="4" t="n"/>
      <c r="M23" s="4" t="n"/>
      <c r="N23" s="4" t="n"/>
      <c r="O23" s="11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9" t="n"/>
      <c r="J24" s="10" t="n"/>
      <c r="K24" s="4" t="n"/>
      <c r="L24" s="4" t="n"/>
      <c r="M24" s="4" t="n"/>
      <c r="N24" s="4" t="n"/>
      <c r="O24" s="11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9" t="n"/>
      <c r="J25" s="10" t="n"/>
      <c r="K25" s="4" t="n"/>
      <c r="L25" s="4" t="n"/>
      <c r="M25" s="4" t="n"/>
      <c r="N25" s="4" t="n"/>
      <c r="O25" s="11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9" t="n"/>
      <c r="J26" s="10" t="n"/>
      <c r="K26" s="4" t="n"/>
      <c r="L26" s="4" t="n"/>
      <c r="M26" s="4" t="n"/>
      <c r="N26" s="4" t="n"/>
      <c r="O26" s="11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9" t="n"/>
      <c r="J27" s="10" t="n"/>
      <c r="K27" s="4" t="n"/>
      <c r="L27" s="4" t="n"/>
      <c r="M27" s="4" t="n"/>
      <c r="N27" s="4" t="n"/>
      <c r="O27" s="11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9" t="n"/>
      <c r="J28" s="10" t="n"/>
      <c r="K28" s="4" t="n"/>
      <c r="L28" s="4" t="n"/>
      <c r="M28" s="4" t="n"/>
      <c r="N28" s="4" t="n"/>
      <c r="O28" s="11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9" t="n"/>
      <c r="J29" s="10" t="n"/>
      <c r="K29" s="4" t="n"/>
      <c r="L29" s="4" t="n"/>
      <c r="M29" s="4" t="n"/>
      <c r="N29" s="4" t="n"/>
      <c r="O29" s="11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9" t="n"/>
      <c r="J30" s="10" t="n"/>
      <c r="K30" s="4" t="n"/>
      <c r="L30" s="4" t="n"/>
      <c r="M30" s="4" t="n"/>
      <c r="N30" s="4" t="n"/>
      <c r="O30" s="11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9" t="n"/>
      <c r="J31" s="10" t="n"/>
      <c r="K31" s="4" t="n"/>
      <c r="L31" s="4" t="n"/>
      <c r="M31" s="4" t="n"/>
      <c r="N31" s="4" t="n"/>
      <c r="O31" s="11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9" t="n"/>
      <c r="J32" s="10" t="n"/>
      <c r="K32" s="4" t="n"/>
      <c r="L32" s="4" t="n"/>
      <c r="M32" s="4" t="n"/>
      <c r="N32" s="4" t="n"/>
      <c r="O32" s="11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9" t="n"/>
      <c r="J33" s="10" t="n"/>
      <c r="K33" s="4" t="n"/>
      <c r="L33" s="4" t="n"/>
      <c r="M33" s="4" t="n"/>
      <c r="N33" s="4" t="n"/>
      <c r="O33" s="11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9" t="n"/>
      <c r="J34" s="10" t="n"/>
      <c r="K34" s="4" t="n"/>
      <c r="L34" s="4" t="n"/>
      <c r="M34" s="4" t="n"/>
      <c r="N34" s="4" t="n"/>
      <c r="O34" s="11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9" t="n"/>
      <c r="J35" s="10" t="n"/>
      <c r="K35" s="4" t="n"/>
      <c r="L35" s="4" t="n"/>
      <c r="M35" s="4" t="n"/>
      <c r="N35" s="4" t="n"/>
      <c r="O35" s="11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9" t="n"/>
      <c r="J36" s="10" t="n"/>
      <c r="K36" s="4" t="n"/>
      <c r="L36" s="4" t="n"/>
      <c r="M36" s="4" t="n"/>
      <c r="N36" s="4" t="n"/>
      <c r="O36" s="11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9" t="n"/>
      <c r="J37" s="10" t="n"/>
      <c r="K37" s="4" t="n"/>
      <c r="L37" s="4" t="n"/>
      <c r="M37" s="4" t="n"/>
      <c r="N37" s="4" t="n"/>
      <c r="O37" s="11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9" t="n"/>
      <c r="J38" s="10" t="n"/>
      <c r="K38" s="4" t="n"/>
      <c r="L38" s="4" t="n"/>
      <c r="M38" s="4" t="n"/>
      <c r="N38" s="4" t="n"/>
      <c r="O38" s="11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9" t="n"/>
      <c r="J39" s="10" t="n"/>
      <c r="K39" s="4" t="n"/>
      <c r="L39" s="4" t="n"/>
      <c r="M39" s="4" t="n"/>
      <c r="N39" s="4" t="n"/>
      <c r="O39" s="11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9" t="n"/>
      <c r="J40" s="10" t="n"/>
      <c r="K40" s="4" t="n"/>
      <c r="L40" s="4" t="n"/>
      <c r="M40" s="4" t="n"/>
      <c r="N40" s="4" t="n"/>
      <c r="O40" s="11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9" t="n"/>
      <c r="J41" s="10" t="n"/>
      <c r="K41" s="4" t="n"/>
      <c r="L41" s="4" t="n"/>
      <c r="M41" s="4" t="n"/>
      <c r="N41" s="4" t="n"/>
      <c r="O41" s="11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9" t="n"/>
      <c r="J42" s="10" t="n"/>
      <c r="K42" s="4" t="n"/>
      <c r="L42" s="4" t="n"/>
      <c r="M42" s="4" t="n"/>
      <c r="N42" s="4" t="n"/>
      <c r="O42" s="11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9" t="n"/>
      <c r="J43" s="10" t="n"/>
      <c r="K43" s="4" t="n"/>
      <c r="L43" s="4" t="n"/>
      <c r="M43" s="4" t="n"/>
      <c r="N43" s="4" t="n"/>
      <c r="O43" s="11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9" t="n"/>
      <c r="J44" s="10" t="n"/>
      <c r="K44" s="4" t="n"/>
      <c r="L44" s="4" t="n"/>
      <c r="M44" s="4" t="n"/>
      <c r="N44" s="4" t="n"/>
      <c r="O44" s="11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9" t="n"/>
      <c r="J45" s="10" t="n"/>
      <c r="K45" s="4" t="n"/>
      <c r="L45" s="4" t="n"/>
      <c r="M45" s="4" t="n"/>
      <c r="N45" s="4" t="n"/>
      <c r="O45" s="11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9" t="n"/>
      <c r="J46" s="10" t="n"/>
      <c r="K46" s="4" t="n"/>
      <c r="L46" s="4" t="n"/>
      <c r="M46" s="4" t="n"/>
      <c r="N46" s="4" t="n"/>
      <c r="O46" s="11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9" t="n"/>
      <c r="J47" s="10" t="n"/>
      <c r="K47" s="4" t="n"/>
      <c r="L47" s="4" t="n"/>
      <c r="M47" s="4" t="n"/>
      <c r="N47" s="4" t="n"/>
      <c r="O47" s="11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9" t="n"/>
      <c r="J48" s="10" t="n"/>
      <c r="K48" s="4" t="n"/>
      <c r="L48" s="4" t="n"/>
      <c r="M48" s="4" t="n"/>
      <c r="N48" s="4" t="n"/>
      <c r="O48" s="11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9" t="n"/>
      <c r="J49" s="10" t="n"/>
      <c r="K49" s="4" t="n"/>
      <c r="L49" s="4" t="n"/>
      <c r="M49" s="4" t="n"/>
      <c r="N49" s="4" t="n"/>
      <c r="O49" s="11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9" t="n"/>
      <c r="J50" s="10" t="n"/>
      <c r="K50" s="4" t="n"/>
      <c r="L50" s="4" t="n"/>
      <c r="M50" s="4" t="n"/>
      <c r="N50" s="4" t="n"/>
      <c r="O50" s="11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9" t="n"/>
      <c r="J51" s="10" t="n"/>
      <c r="K51" s="4" t="n"/>
      <c r="L51" s="4" t="n"/>
      <c r="M51" s="4" t="n"/>
      <c r="N51" s="4" t="n"/>
      <c r="O51" s="11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9" t="n"/>
      <c r="J52" s="10" t="n"/>
      <c r="K52" s="4" t="n"/>
      <c r="L52" s="4" t="n"/>
      <c r="M52" s="4" t="n"/>
      <c r="N52" s="4" t="n"/>
      <c r="O52" s="11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9" t="n"/>
      <c r="J53" s="10" t="n"/>
      <c r="K53" s="4" t="n"/>
      <c r="L53" s="4" t="n"/>
      <c r="M53" s="4" t="n"/>
      <c r="N53" s="4" t="n"/>
      <c r="O53" s="11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9" t="n"/>
      <c r="J54" s="10" t="n"/>
      <c r="K54" s="4" t="n"/>
      <c r="L54" s="4" t="n"/>
      <c r="M54" s="4" t="n"/>
      <c r="N54" s="4" t="n"/>
      <c r="O54" s="11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9" t="n"/>
      <c r="J55" s="10" t="n"/>
      <c r="K55" s="4" t="n"/>
      <c r="L55" s="4" t="n"/>
      <c r="M55" s="4" t="n"/>
      <c r="N55" s="4" t="n"/>
      <c r="O55" s="11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9" t="n"/>
      <c r="J56" s="10" t="n"/>
      <c r="K56" s="4" t="n"/>
      <c r="L56" s="4" t="n"/>
      <c r="M56" s="4" t="n"/>
      <c r="N56" s="4" t="n"/>
      <c r="O56" s="11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9" t="n"/>
      <c r="J57" s="10" t="n"/>
      <c r="K57" s="4" t="n"/>
      <c r="L57" s="4" t="n"/>
      <c r="M57" s="4" t="n"/>
      <c r="N57" s="4" t="n"/>
      <c r="O57" s="11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9" t="n"/>
      <c r="J58" s="10" t="n"/>
      <c r="K58" s="4" t="n"/>
      <c r="L58" s="4" t="n"/>
      <c r="M58" s="4" t="n"/>
      <c r="N58" s="4" t="n"/>
      <c r="O58" s="11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9" t="n"/>
      <c r="J59" s="10" t="n"/>
      <c r="K59" s="4" t="n"/>
      <c r="L59" s="4" t="n"/>
      <c r="M59" s="4" t="n"/>
      <c r="N59" s="4" t="n"/>
      <c r="O59" s="11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9" t="n"/>
      <c r="J60" s="10" t="n"/>
      <c r="K60" s="4" t="n"/>
      <c r="L60" s="4" t="n"/>
      <c r="M60" s="4" t="n"/>
      <c r="N60" s="4" t="n"/>
      <c r="O60" s="11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9" t="n"/>
      <c r="J61" s="10" t="n"/>
      <c r="K61" s="4" t="n"/>
      <c r="L61" s="4" t="n"/>
      <c r="M61" s="4" t="n"/>
      <c r="N61" s="4" t="n"/>
      <c r="O61" s="11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9" t="n"/>
      <c r="J62" s="10" t="n"/>
      <c r="K62" s="4" t="n"/>
      <c r="L62" s="4" t="n"/>
      <c r="M62" s="4" t="n"/>
      <c r="N62" s="4" t="n"/>
      <c r="O62" s="11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9" t="n"/>
      <c r="J63" s="10" t="n"/>
      <c r="K63" s="4" t="n"/>
      <c r="L63" s="4" t="n"/>
      <c r="M63" s="4" t="n"/>
      <c r="N63" s="4" t="n"/>
      <c r="O63" s="11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9" t="n"/>
      <c r="J64" s="10" t="n"/>
      <c r="K64" s="4" t="n"/>
      <c r="L64" s="4" t="n"/>
      <c r="M64" s="4" t="n"/>
      <c r="N64" s="4" t="n"/>
      <c r="O64" s="11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9" t="n"/>
      <c r="J65" s="10" t="n"/>
      <c r="K65" s="4" t="n"/>
      <c r="L65" s="4" t="n"/>
      <c r="M65" s="4" t="n"/>
      <c r="N65" s="4" t="n"/>
      <c r="O65" s="11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9" t="n"/>
      <c r="J66" s="10" t="n"/>
      <c r="K66" s="4" t="n"/>
      <c r="L66" s="4" t="n"/>
      <c r="M66" s="4" t="n"/>
      <c r="N66" s="4" t="n"/>
      <c r="O66" s="11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9" t="n"/>
      <c r="J67" s="10" t="n"/>
      <c r="K67" s="4" t="n"/>
      <c r="L67" s="4" t="n"/>
      <c r="M67" s="4" t="n"/>
      <c r="N67" s="4" t="n"/>
      <c r="O67" s="11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9" t="n"/>
      <c r="J68" s="10" t="n"/>
      <c r="K68" s="4" t="n"/>
      <c r="L68" s="4" t="n"/>
      <c r="M68" s="4" t="n"/>
      <c r="N68" s="4" t="n"/>
      <c r="O68" s="11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9" t="n"/>
      <c r="J69" s="10" t="n"/>
      <c r="K69" s="4" t="n"/>
      <c r="L69" s="4" t="n"/>
      <c r="M69" s="4" t="n"/>
      <c r="N69" s="4" t="n"/>
      <c r="O69" s="11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9" t="n"/>
      <c r="J70" s="10" t="n"/>
      <c r="K70" s="4" t="n"/>
      <c r="L70" s="4" t="n"/>
      <c r="M70" s="4" t="n"/>
      <c r="N70" s="4" t="n"/>
      <c r="O70" s="11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9" t="n"/>
      <c r="J71" s="10" t="n"/>
      <c r="K71" s="4" t="n"/>
      <c r="L71" s="4" t="n"/>
      <c r="M71" s="4" t="n"/>
      <c r="N71" s="4" t="n"/>
      <c r="O71" s="11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9" t="n"/>
      <c r="J72" s="10" t="n"/>
      <c r="K72" s="4" t="n"/>
      <c r="L72" s="4" t="n"/>
      <c r="M72" s="4" t="n"/>
      <c r="N72" s="4" t="n"/>
      <c r="O72" s="11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9" t="n"/>
      <c r="J73" s="10" t="n"/>
      <c r="K73" s="4" t="n"/>
      <c r="L73" s="4" t="n"/>
      <c r="M73" s="4" t="n"/>
      <c r="N73" s="4" t="n"/>
      <c r="O73" s="11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9" t="n"/>
      <c r="J74" s="10" t="n"/>
      <c r="K74" s="4" t="n"/>
      <c r="L74" s="4" t="n"/>
      <c r="M74" s="4" t="n"/>
      <c r="N74" s="4" t="n"/>
      <c r="O74" s="11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9" t="n"/>
      <c r="J75" s="10" t="n"/>
      <c r="K75" s="4" t="n"/>
      <c r="L75" s="4" t="n"/>
      <c r="M75" s="4" t="n"/>
      <c r="N75" s="4" t="n"/>
      <c r="O75" s="11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9" t="n"/>
      <c r="J76" s="10" t="n"/>
      <c r="K76" s="4" t="n"/>
      <c r="L76" s="4" t="n"/>
      <c r="M76" s="4" t="n"/>
      <c r="N76" s="4" t="n"/>
      <c r="O76" s="11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9" t="n"/>
      <c r="J77" s="10" t="n"/>
      <c r="K77" s="4" t="n"/>
      <c r="L77" s="4" t="n"/>
      <c r="M77" s="4" t="n"/>
      <c r="N77" s="4" t="n"/>
      <c r="O77" s="11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9" t="n"/>
      <c r="J78" s="10" t="n"/>
      <c r="K78" s="4" t="n"/>
      <c r="L78" s="4" t="n"/>
      <c r="M78" s="4" t="n"/>
      <c r="N78" s="4" t="n"/>
      <c r="O78" s="11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9" t="n"/>
      <c r="J79" s="10" t="n"/>
      <c r="K79" s="4" t="n"/>
      <c r="L79" s="4" t="n"/>
      <c r="M79" s="4" t="n"/>
      <c r="N79" s="4" t="n"/>
      <c r="O79" s="11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9" t="n"/>
      <c r="J80" s="10" t="n"/>
      <c r="K80" s="4" t="n"/>
      <c r="L80" s="4" t="n"/>
      <c r="M80" s="4" t="n"/>
      <c r="N80" s="4" t="n"/>
      <c r="O80" s="11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9" t="n"/>
      <c r="J81" s="10" t="n"/>
      <c r="K81" s="4" t="n"/>
      <c r="L81" s="4" t="n"/>
      <c r="M81" s="4" t="n"/>
      <c r="N81" s="4" t="n"/>
      <c r="O81" s="11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9" t="n"/>
      <c r="J82" s="10" t="n"/>
      <c r="K82" s="4" t="n"/>
      <c r="L82" s="4" t="n"/>
      <c r="M82" s="4" t="n"/>
      <c r="N82" s="4" t="n"/>
      <c r="O82" s="11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9" t="n"/>
      <c r="J83" s="10" t="n"/>
      <c r="K83" s="4" t="n"/>
      <c r="L83" s="4" t="n"/>
      <c r="M83" s="4" t="n"/>
      <c r="N83" s="4" t="n"/>
      <c r="O83" s="11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9" t="n"/>
      <c r="J84" s="10" t="n"/>
      <c r="K84" s="4" t="n"/>
      <c r="L84" s="4" t="n"/>
      <c r="M84" s="4" t="n"/>
      <c r="N84" s="4" t="n"/>
      <c r="O84" s="11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9" t="n"/>
      <c r="J85" s="10" t="n"/>
      <c r="K85" s="4" t="n"/>
      <c r="L85" s="4" t="n"/>
      <c r="M85" s="4" t="n"/>
      <c r="N85" s="4" t="n"/>
      <c r="O85" s="11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9" t="n"/>
      <c r="J86" s="10" t="n"/>
      <c r="K86" s="4" t="n"/>
      <c r="L86" s="4" t="n"/>
      <c r="M86" s="4" t="n"/>
      <c r="N86" s="4" t="n"/>
      <c r="O86" s="11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9" t="n"/>
      <c r="J87" s="10" t="n"/>
      <c r="K87" s="4" t="n"/>
      <c r="L87" s="4" t="n"/>
      <c r="M87" s="4" t="n"/>
      <c r="N87" s="4" t="n"/>
      <c r="O87" s="11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9" t="n"/>
      <c r="J88" s="10" t="n"/>
      <c r="K88" s="4" t="n"/>
      <c r="L88" s="4" t="n"/>
      <c r="M88" s="4" t="n"/>
      <c r="N88" s="4" t="n"/>
      <c r="O88" s="11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9" t="n"/>
      <c r="J89" s="10" t="n"/>
      <c r="K89" s="4" t="n"/>
      <c r="L89" s="4" t="n"/>
      <c r="M89" s="4" t="n"/>
      <c r="N89" s="4" t="n"/>
      <c r="O89" s="11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9" t="n"/>
      <c r="J90" s="10" t="n"/>
      <c r="K90" s="4" t="n"/>
      <c r="L90" s="4" t="n"/>
      <c r="M90" s="4" t="n"/>
      <c r="N90" s="4" t="n"/>
      <c r="O90" s="11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9" t="n"/>
      <c r="J91" s="10" t="n"/>
      <c r="K91" s="4" t="n"/>
      <c r="L91" s="4" t="n"/>
      <c r="M91" s="4" t="n"/>
      <c r="N91" s="4" t="n"/>
      <c r="O91" s="11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9" t="n"/>
      <c r="J92" s="10" t="n"/>
      <c r="K92" s="4" t="n"/>
      <c r="L92" s="4" t="n"/>
      <c r="M92" s="4" t="n"/>
      <c r="N92" s="4" t="n"/>
      <c r="O92" s="11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9" t="n"/>
      <c r="J93" s="10" t="n"/>
      <c r="K93" s="4" t="n"/>
      <c r="L93" s="4" t="n"/>
      <c r="M93" s="4" t="n"/>
      <c r="N93" s="4" t="n"/>
      <c r="O93" s="11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9" t="n"/>
      <c r="J94" s="10" t="n"/>
      <c r="K94" s="4" t="n"/>
      <c r="L94" s="4" t="n"/>
      <c r="M94" s="4" t="n"/>
      <c r="N94" s="4" t="n"/>
      <c r="O94" s="11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9" t="n"/>
      <c r="J95" s="10" t="n"/>
      <c r="K95" s="4" t="n"/>
      <c r="L95" s="4" t="n"/>
      <c r="M95" s="4" t="n"/>
      <c r="N95" s="4" t="n"/>
      <c r="O95" s="11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9" t="n"/>
      <c r="J96" s="10" t="n"/>
      <c r="K96" s="4" t="n"/>
      <c r="L96" s="4" t="n"/>
      <c r="M96" s="4" t="n"/>
      <c r="N96" s="4" t="n"/>
      <c r="O96" s="11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9" t="n"/>
      <c r="J97" s="10" t="n"/>
      <c r="K97" s="4" t="n"/>
      <c r="L97" s="4" t="n"/>
      <c r="M97" s="4" t="n"/>
      <c r="N97" s="4" t="n"/>
      <c r="O97" s="11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9" t="n"/>
      <c r="J98" s="10" t="n"/>
      <c r="K98" s="4" t="n"/>
      <c r="L98" s="4" t="n"/>
      <c r="M98" s="4" t="n"/>
      <c r="N98" s="4" t="n"/>
      <c r="O98" s="11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9" t="n"/>
      <c r="J99" s="10" t="n"/>
      <c r="K99" s="4" t="n"/>
      <c r="L99" s="4" t="n"/>
      <c r="M99" s="4" t="n"/>
      <c r="N99" s="4" t="n"/>
      <c r="O99" s="11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9" t="n"/>
      <c r="J100" s="10" t="n"/>
      <c r="K100" s="4" t="n"/>
      <c r="L100" s="4" t="n"/>
      <c r="M100" s="4" t="n"/>
      <c r="N100" s="4" t="n"/>
      <c r="O100" s="11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6" customWidth="1" min="3" max="3"/>
    <col width="9" customWidth="1" min="4" max="4"/>
    <col width="20" customWidth="1" min="5" max="5"/>
    <col width="20" customWidth="1" min="6" max="6"/>
    <col width="20" customWidth="1" min="7" max="7"/>
    <col width="30" customWidth="1" min="8" max="8"/>
  </cols>
  <sheetData>
    <row r="1">
      <c r="A1" s="12" t="inlineStr">
        <is>
          <t>ส่งเมื่อ</t>
        </is>
      </c>
      <c r="B1" s="12" t="inlineStr">
        <is>
          <t>user_id</t>
        </is>
      </c>
      <c r="C1" s="12" t="inlineStr">
        <is>
          <t>ชื่อ</t>
        </is>
      </c>
      <c r="D1" s="12" t="inlineStr">
        <is>
          <t>ทีม</t>
        </is>
      </c>
      <c r="E1" s="12" t="inlineStr">
        <is>
          <t>คำถาม 1</t>
        </is>
      </c>
      <c r="F1" s="12" t="inlineStr">
        <is>
          <t>คำถาม 2</t>
        </is>
      </c>
      <c r="G1" s="12" t="inlineStr">
        <is>
          <t>คำถาม 3</t>
        </is>
      </c>
      <c r="H1" s="12" t="inlineStr">
        <is>
          <t>ความเห็นเพิ่มเติม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4" customWidth="1" min="4" max="4"/>
    <col width="10" customWidth="1" min="5" max="5"/>
  </cols>
  <sheetData>
    <row r="1">
      <c r="A1" s="12" t="inlineStr">
        <is>
          <t>แรงค์</t>
        </is>
      </c>
      <c r="B1" s="12" t="inlineStr">
        <is>
          <t>คะแนนขั้นต่ำ</t>
        </is>
      </c>
      <c r="D1" s="7" t="inlineStr">
        <is>
          <t>ค่าตั้งต้น</t>
        </is>
      </c>
      <c r="E1" s="7" t="inlineStr">
        <is>
          <t>ค่า</t>
        </is>
      </c>
    </row>
    <row r="2">
      <c r="A2" s="4" t="inlineStr">
        <is>
          <t>E</t>
        </is>
      </c>
      <c r="B2" s="16" t="n">
        <v>0</v>
      </c>
      <c r="C2" s="4" t="n"/>
      <c r="D2" s="4" t="inlineStr">
        <is>
          <t>ข้อควรทบทวน: % ตอบผิดมากกว่า</t>
        </is>
      </c>
      <c r="E2" s="17" t="n">
        <v>0.5</v>
      </c>
    </row>
    <row r="3">
      <c r="A3" s="4" t="inlineStr">
        <is>
          <t>D</t>
        </is>
      </c>
      <c r="B3" s="16" t="n">
        <v>20</v>
      </c>
      <c r="C3" s="4" t="n"/>
      <c r="D3" s="4" t="inlineStr">
        <is>
          <t>ข้อควรทบทวน: ต้องมีคนตอบอย่างน้อย (ครั้ง)</t>
        </is>
      </c>
      <c r="E3" s="18" t="n">
        <v>5</v>
      </c>
    </row>
    <row r="4">
      <c r="A4" s="4" t="inlineStr">
        <is>
          <t>C</t>
        </is>
      </c>
      <c r="B4" s="16" t="n">
        <v>50</v>
      </c>
      <c r="C4" s="4" t="n"/>
      <c r="D4" s="4" t="inlineStr">
        <is>
          <t>All-In: % คนเล่นในสัปดาห์</t>
        </is>
      </c>
      <c r="E4" s="17" t="n">
        <v>0.8</v>
      </c>
    </row>
    <row r="5">
      <c r="A5" s="4" t="inlineStr">
        <is>
          <t>B</t>
        </is>
      </c>
      <c r="B5" s="16" t="n">
        <v>90</v>
      </c>
      <c r="C5" s="4" t="n"/>
      <c r="D5" s="4" t="inlineStr">
        <is>
          <t>โบนัสทีมสะสม FAC</t>
        </is>
      </c>
      <c r="E5" s="18" t="n">
        <v>0</v>
      </c>
    </row>
    <row r="6">
      <c r="A6" s="4" t="inlineStr">
        <is>
          <t>A</t>
        </is>
      </c>
      <c r="B6" s="16" t="n">
        <v>140</v>
      </c>
      <c r="C6" s="4" t="n"/>
      <c r="D6" s="4" t="inlineStr">
        <is>
          <t>โบนัสทีมสะสม WH</t>
        </is>
      </c>
      <c r="E6" s="18" t="n">
        <v>0</v>
      </c>
    </row>
    <row r="7">
      <c r="A7" s="4" t="inlineStr">
        <is>
          <t>S</t>
        </is>
      </c>
      <c r="B7" s="16" t="n">
        <v>200</v>
      </c>
      <c r="C7" s="4" t="n"/>
      <c r="D7" s="4" t="inlineStr">
        <is>
          <t>โบนัสทีมสะสม SAMYAN</t>
        </is>
      </c>
      <c r="E7" s="18" t="n">
        <v>0</v>
      </c>
    </row>
    <row r="8">
      <c r="A8" s="4" t="inlineStr">
        <is>
          <t>SSS</t>
        </is>
      </c>
      <c r="B8" s="16" t="n">
        <v>270</v>
      </c>
      <c r="C8" s="4" t="n"/>
      <c r="D8" s="4" t="n"/>
      <c r="E8" s="4" t="n"/>
    </row>
    <row r="9">
      <c r="A9" s="4" t="inlineStr">
        <is>
          <t>Legendary</t>
        </is>
      </c>
      <c r="B9" s="16" t="n">
        <v>350</v>
      </c>
      <c r="C9" s="4" t="n"/>
      <c r="D9" s="4" t="n"/>
      <c r="E9" s="4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2026-10-27T18:14:27Z</dcterms:created>
  <dcterms:modified xmlns:dcterms="http://purl.org/dc/terms/" xmlns:xsi="http://www.w3.org/2001/XMLSchema-instance" xsi:type="dcterms:W3CDTF">2026-10-27T18:14:27Z</dcterms:modified>
</cp:coreProperties>
</file>