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" sheetId="1" state="visible" r:id="rId3"/>
    <sheet name="คลังคำถาม" sheetId="2" state="visible" r:id="rId4"/>
  </sheets>
  <definedNames>
    <definedName function="false" hidden="true" localSheetId="1" name="_xlnm._FilterDatabase" vbProcedure="false">คลังคำถาม!$A$1:$M$61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<sst xmlns="http://schemas.openxmlformats.org/spreadsheetml/2006/main" count="712" uniqueCount="460">
  <si>
    <t xml:space="preserve">คลังคำถาม บทที่ 1 · Caring (ห่วงใย ใส่ใจ)</t>
  </si>
  <si>
    <t xml:space="preserve">ระบบจะดึงเฉพาะข้อที่สถานะ "ผ่าน" ไปใช้ · สุ่มต่อครั้ง ง่าย 2 · กลาง 2 · ยาก 1</t>
  </si>
  <si>
    <t xml:space="preserve">ระดับ</t>
  </si>
  <si>
    <t xml:space="preserve">ทั้งหมด</t>
  </si>
  <si>
    <t xml:space="preserve">ผ่าน</t>
  </si>
  <si>
    <t xml:space="preserve">รอตรวจ</t>
  </si>
  <si>
    <t xml:space="preserve">ต้องแก้</t>
  </si>
  <si>
    <t xml:space="preserve">ตัดทิ้ง</t>
  </si>
  <si>
    <t xml:space="preserve">โควต้าต่อครั้ง</t>
  </si>
  <si>
    <t xml:space="preserve">ง่าย</t>
  </si>
  <si>
    <t xml:space="preserve">กลาง</t>
  </si>
  <si>
    <t xml:space="preserve">ยาก</t>
  </si>
  <si>
    <t xml:space="preserve">รวม</t>
  </si>
  <si>
    <t xml:space="preserve">หัวข้อย่อย</t>
  </si>
  <si>
    <t xml:space="preserve">เดือดร้อนแทนลูกค้า</t>
  </si>
  <si>
    <t xml:space="preserve">ตัวเลข vs คน</t>
  </si>
  <si>
    <t xml:space="preserve">ห่วงเพื่อนที่ทำงานต่อ</t>
  </si>
  <si>
    <t xml:space="preserve">ตัดสินใจเองอย่างรับผิดชอบ</t>
  </si>
  <si>
    <t xml:space="preserve">ถามตัวเองก่อนตัดสินใจ</t>
  </si>
  <si>
    <t xml:space="preserve">การกระจายตำแหน่งข้อถูก</t>
  </si>
  <si>
    <t xml:space="preserve">ก</t>
  </si>
  <si>
    <t xml:space="preserve">ข</t>
  </si>
  <si>
    <t xml:space="preserve">ค</t>
  </si>
  <si>
    <t xml:space="preserve">ง</t>
  </si>
  <si>
    <t xml:space="preserve">จำนวนข้อ</t>
  </si>
  <si>
    <t xml:space="preserve">วิธีตรวจ</t>
  </si>
  <si>
    <t xml:space="preserve">1. อ่านคำถาม ตัวเลือก และคำอธิบาย เทียบกับเนื้อหาในหนังสือ</t>
  </si>
  <si>
    <t xml:space="preserve">2. เปลี่ยนคอลัมน์ "สถานะตรวจ" เป็น ผ่าน / ต้องแก้ / ตัดทิ้ง (มี dropdown ให้เลือก)</t>
  </si>
  <si>
    <t xml:space="preserve">3. ถ้าต้องแก้ เขียนสิ่งที่อยากเปลี่ยนไว้ในคอลัมน์ "หมายเหตุผู้ตรวจ"</t>
  </si>
  <si>
    <t xml:space="preserve">4. ช่องที่แก้ได้: คำถาม · ก ข ค ง · ข้อถูก · คำอธิบาย · สถานะตรวจ · หมายเหตุ</t>
  </si>
  <si>
    <t xml:space="preserve">5. ห้ามแก้คอลัมน์ "รหัส" เพราะระบบใช้ติดตามว่าใครเคยเจอข้อไหน</t>
  </si>
  <si>
    <t xml:space="preserve">หมายเหตุ: ระบบจะสลับลำดับตัวเลือก ก ข ค ง ให้แต่ละคนเห็นไม่เหมือนกัน ตำแหน่งในชีตจึงไม่ใช่ตำแหน่งที่พนักงานเห็นจริง</t>
  </si>
  <si>
    <t xml:space="preserve">คำอธิบายจะแสดงหลังพนักงานกดตอบทุกครั้ง ทั้งตอบถูกและตอบผิด ควรยาวไม่เกิน 2-3 บรรทัดบนมือถือ</t>
  </si>
  <si>
    <t xml:space="preserve">รหัส</t>
  </si>
  <si>
    <t xml:space="preserve">บท</t>
  </si>
  <si>
    <t xml:space="preserve">คำถาม</t>
  </si>
  <si>
    <t xml:space="preserve">ข้อถูก</t>
  </si>
  <si>
    <t xml:space="preserve">คำอธิบาย (แสดงหลังตอบ)</t>
  </si>
  <si>
    <t xml:space="preserve">สถานะตรวจ</t>
  </si>
  <si>
    <t xml:space="preserve">หมายเหตุผู้ตรวจ</t>
  </si>
  <si>
    <t xml:space="preserve">C1-001</t>
  </si>
  <si>
    <t xml:space="preserve">ในเรื่อง "กล่องที่ไม่ถึงมือ" คุณเจแจ้งปัญหาอะไรกับแม็กซ์</t>
  </si>
  <si>
    <t xml:space="preserve">สินค้าที่ได้รับเป็นรสชาติผิด</t>
  </si>
  <si>
    <t xml:space="preserve">ของยังไม่มาถึงร้าน ทั้งที่พรุ่งนี้เช้าจะเปิดสาขาใหม่</t>
  </si>
  <si>
    <t xml:space="preserve">ขอเลื่อนวันส่งของออกไปก่อน</t>
  </si>
  <si>
    <t xml:space="preserve">ขอเปลี่ยนจำนวนที่สั่งจาก 12 ลังเป็น 6 ลัง</t>
  </si>
  <si>
    <t xml:space="preserve">คุณเจสั่ง Garden Tonics 12 ลังสำหรับวันเปิดสาขาใหม่ที่ทองหล่อ ระบบขนส่งขึ้นว่าส่งถึงแล้ว แต่ของไม่มาถึงร้าน และร้านจะเปิด 8 โมงเช้า</t>
  </si>
  <si>
    <t xml:space="preserve">C1-002</t>
  </si>
  <si>
    <t xml:space="preserve">ทำไมบอมถึงมองว่าเรื่องของคุณเจ "ปิดได้แล้ว"</t>
  </si>
  <si>
    <t xml:space="preserve">เพราะคุณเจเป็นลูกค้ารายเล็ก</t>
  </si>
  <si>
    <t xml:space="preserve">เพราะแม็กซ์ไม่มีสิทธิ์ส่งของใหม่</t>
  </si>
  <si>
    <t xml:space="preserve">เพราะคลังไม่มีของเหลือให้ส่ง</t>
  </si>
  <si>
    <t xml:space="preserve">เพราะของออกจากคลังครบ เอกสารครบ และระบบขึ้นว่าส่งถึงแล้ว</t>
  </si>
  <si>
    <t xml:space="preserve">บอมพูดถูกในแง่ตัวเลขและขั้นตอน ของออกจากเราครบทุกอย่าง แต่ในเรื่องนี้ มุมนั้นยังไม่ได้มองถึงคนที่กำลังเดือดร้อนอยู่จริง</t>
  </si>
  <si>
    <t xml:space="preserve">C1-003</t>
  </si>
  <si>
    <t xml:space="preserve">อะไรทำให้แม็กซ์เปลี่ยนใจ ไม่ตอบคุณเจไปตามที่บอมแนะนำ</t>
  </si>
  <si>
    <t xml:space="preserve">เขานึกภาพพรุ่งนี้เช้าที่คุณเจยืนหน้าร้านใหม่ แต่ชั้นวางว่างเปล่า</t>
  </si>
  <si>
    <t xml:space="preserve">เขากลัวว่าจะโดนหัวหน้าตำหนิ</t>
  </si>
  <si>
    <t xml:space="preserve">เขาอยากทำยอดขายเพิ่มในเดือนนี้</t>
  </si>
  <si>
    <t xml:space="preserve">ขนส่งโทรมายอมรับผิดพอดี</t>
  </si>
  <si>
    <t xml:space="preserve">แม็กซ์นึกถึงความเดือดร้อนของคุณเจที่เพิ่งลงทุนเปิดร้านไปหลายแสน นี่คือหัวใจของ Caring คือรู้สึกเดือดร้อนแทนลูกค้า</t>
  </si>
  <si>
    <t xml:space="preserve">C1-004</t>
  </si>
  <si>
    <t xml:space="preserve">ตามที่ handbook เขียนไว้ในบทนี้ ถ้าเราส่งของไปแล้วลูกค้าแจ้งว่าไม่ได้รับ เราควรทำอย่างไร</t>
  </si>
  <si>
    <t xml:space="preserve">ส่งของใหม่ให้ลูกค้าก่อน แล้วค่อยไปเคลียร์กับขนส่งเองทีหลัง</t>
  </si>
  <si>
    <t xml:space="preserve">ให้ลูกค้าไปแจ้งขนส่งเอง เพราะเป็นความผิดของขนส่ง</t>
  </si>
  <si>
    <t xml:space="preserve">รอผลตรวจสอบจากขนส่งก่อน แล้วค่อยตัดสินใจ</t>
  </si>
  <si>
    <t xml:space="preserve">ขอหลักฐานจากลูกค้าก่อนว่าไม่ได้รับจริง</t>
  </si>
  <si>
    <t xml:space="preserve">บรรทัดนี้อยู่ใน handbook ที่พี่ดาราเปิดให้แม็กซ์ดู คือมองปัญหาของลูกค้าก่อน แล้วรับภาระเรื่องขนส่งมาจัดการเอง</t>
  </si>
  <si>
    <t xml:space="preserve">C1-005</t>
  </si>
  <si>
    <t xml:space="preserve">หลังจากสั่งส่งของด่วนรอบดึกแล้ว แม็กซ์ทำอะไรต่อ</t>
  </si>
  <si>
    <t xml:space="preserve">ลงไปช่วยพี่กบจัดของที่คลังจนเสร็จ</t>
  </si>
  <si>
    <t xml:space="preserve">กลับบ้านตามปกติ เพราะสั่งงานเรียบร้อยแล้ว</t>
  </si>
  <si>
    <t xml:space="preserve">โทรตามคนอื่นมาช่วยพี่กบแทน</t>
  </si>
  <si>
    <t xml:space="preserve">ส่งข้อความขอบคุณพี่กบแล้วกลับบ้าน</t>
  </si>
  <si>
    <t xml:space="preserve">แม็กซ์นึกได้ว่าคำสั่งของเขาทำให้พี่กบต้องอยู่คลังคนเดียวดึกๆ เลยลงไปช่วยยกของเอง</t>
  </si>
  <si>
    <t xml:space="preserve">C1-006</t>
  </si>
  <si>
    <t xml:space="preserve">ทำไมแม็กซ์ถึงลงไปช่วยพี่กบที่คลัง</t>
  </si>
  <si>
    <t xml:space="preserve">เพราะพี่ดาราสั่งให้ลงไปช่วย</t>
  </si>
  <si>
    <t xml:space="preserve">เพราะกลัวว่าพี่กบจะจัดของผิด</t>
  </si>
  <si>
    <t xml:space="preserve">เพราะอยากให้พี่วินเห็นว่าขยัน</t>
  </si>
  <si>
    <t xml:space="preserve">เพราะเขาเป็นคนตัดสินใจเอง แล้วทำให้พี่กบต้องอยู่คลังคนเดียวดึกๆ</t>
  </si>
  <si>
    <t xml:space="preserve">แม็กซ์บอกพี่กบว่า "เรื่องนี้ผมเป็นคนตัดสินใจเอง จะให้พี่อยู่คนเดียวดึกๆ ก็ไม่ได้" คือห่วงคนที่ต้องลำบากต่อจากการตัดสินใจของตัวเอง</t>
  </si>
  <si>
    <t xml:space="preserve">C1-007</t>
  </si>
  <si>
    <t xml:space="preserve">บทสรุปของ Caring แนะนำให้ถามตัวเองว่าอะไรก่อนตัดสินใจ</t>
  </si>
  <si>
    <t xml:space="preserve">หัวหน้าจะเห็นด้วยไหม</t>
  </si>
  <si>
    <t xml:space="preserve">ถ้าเราทำแบบนี้ ใครจะเดือดร้อนบ้าง</t>
  </si>
  <si>
    <t xml:space="preserve">ทำแบบนี้คุ้มทุนไหม</t>
  </si>
  <si>
    <t xml:space="preserve">เคยมีใครทำแบบนี้มาก่อนไหม</t>
  </si>
  <si>
    <t xml:space="preserve">นี่คือสิ่งที่บทนี้อยากให้จำไปใช้ แล้วเลือกทางที่ดูแลคนเหล่านั้น แม้บางครั้งตัวเลขระยะสั้นจะดูไม่สวย</t>
  </si>
  <si>
    <t xml:space="preserve">C1-008</t>
  </si>
  <si>
    <t xml:space="preserve">หัวใจสั้นๆ ของ Caring คืออะไร</t>
  </si>
  <si>
    <t xml:space="preserve">พูดแล้วทำ</t>
  </si>
  <si>
    <t xml:space="preserve">แพ้ชนะทั้งทีม</t>
  </si>
  <si>
    <t xml:space="preserve">เดือดร้อนแทนคนอื่น</t>
  </si>
  <si>
    <t xml:space="preserve">I may be wrong</t>
  </si>
  <si>
    <t xml:space="preserve">Caring คือเดือดร้อนแทนคนอื่น ถามว่าลูกค้าจะลำบากไหม และเพื่อนที่ต้องทำงานต่อจะลำบากไหม ส่วนตัวเลือกอื่นเป็นหัวใจของ Trusted, Team และ Humble</t>
  </si>
  <si>
    <t xml:space="preserve">C1-009</t>
  </si>
  <si>
    <t xml:space="preserve">Caring ในบทนี้ครอบคลุมใครบ้าง</t>
  </si>
  <si>
    <t xml:space="preserve">เฉพาะลูกค้าเท่านั้น</t>
  </si>
  <si>
    <t xml:space="preserve">เฉพาะหัวหน้าและผู้บริหาร</t>
  </si>
  <si>
    <t xml:space="preserve">ทั้งลูกค้า และเพื่อนร่วมงานที่ต้องทำงานต่อจากเรา</t>
  </si>
  <si>
    <t xml:space="preserve">เฉพาะคู่ค้าที่ซื้อของกับเรา</t>
  </si>
  <si>
    <t xml:space="preserve">พี่ดาราบอกว่า Caring ไม่ได้มีแค่กับลูกค้า แต่รวมถึงเพื่อนที่ต้องลำบากเพราะงานที่เราโยนต่อไปให้เขาด้วย</t>
  </si>
  <si>
    <t xml:space="preserve">C1-010</t>
  </si>
  <si>
    <t xml:space="preserve">แม็กซ์ยอมแลกอะไร เพื่อให้คุณเจมีของขายในวันเปิดร้าน</t>
  </si>
  <si>
    <t xml:space="preserve">margin ของลังนั้น และค่าส่งด่วนรอบดึกที่แพงกว่าปกติ 3 เท่า</t>
  </si>
  <si>
    <t xml:space="preserve">สัญญาระยะยาวกับบริษัทขนส่ง</t>
  </si>
  <si>
    <t xml:space="preserve">วันหยุดของตัวเองหนึ่งสัปดาห์</t>
  </si>
  <si>
    <t xml:space="preserve">สินค้าที่จองไว้ให้ลูกค้ารายอื่น</t>
  </si>
  <si>
    <t xml:space="preserve">แม็กซ์เทียบแล้วว่า margin ลังเดียวที่อาจหายไป เทียบไม่ได้เลยกับวันเปิดร้านของลูกค้า</t>
  </si>
  <si>
    <t xml:space="preserve">C1-011</t>
  </si>
  <si>
    <t xml:space="preserve">ตอน 1-on-1 พี่ดาราบอกแม็กซ์ว่าการตัดสินใจครั้งนี้เป็นอย่างไร</t>
  </si>
  <si>
    <t xml:space="preserve">เกินหน้าที่ ครั้งหน้าต้องขออนุมัติก่อนทุกครั้ง</t>
  </si>
  <si>
    <t xml:space="preserve">ไม่ได้เกินหน้าที่ แต่ตรงกับ value ของบริษัทเป๊ะ</t>
  </si>
  <si>
    <t xml:space="preserve">ถูกต้อง แต่ไม่ควรลงไปช่วยพี่กบ</t>
  </si>
  <si>
    <t xml:space="preserve">ถูกต้องเพียงเพราะคุณเจเป็นลูกค้ารายใหญ่</t>
  </si>
  <si>
    <t xml:space="preserve">พี่ดาราเปิด handbook ให้ดูว่าสิ่งที่แม็กซ์ทำตรงกับที่บริษัทเขียนไว้ เขาเลือกดูแลคนที่เดือดร้อนจริงก่อน margin ลังเดียว</t>
  </si>
  <si>
    <t xml:space="preserve">C1-012</t>
  </si>
  <si>
    <t xml:space="preserve">เมื่อพี่วินเห็นค่าส่งด่วนที่ยังไม่ได้อนุมัติในรายงาน พี่วินว่าอย่างไร</t>
  </si>
  <si>
    <t xml:space="preserve">ให้แม็กซ์จ่ายค่าส่งส่วนนี้เอง</t>
  </si>
  <si>
    <t xml:space="preserve">แม็กซ์เลือกถูกแล้ว และอยากให้ทุกคนตัดสินใจแบบนี้ตอนที่ไม่มีใครสั่ง</t>
  </si>
  <si>
    <t xml:space="preserve">ให้พี่ดาราตักเตือนแม็กซ์</t>
  </si>
  <si>
    <t xml:space="preserve">ให้ไปเรียกเก็บเงินคืนจากขนส่ง</t>
  </si>
  <si>
    <t xml:space="preserve">พี่วินบอกว่าไม่ต้องรับผิดชอบหรอก ค่าส่งสามเท่าของลังเดียว เทียบกับวันเปิดร้านของลูกค้า แม็กซ์เลือกถูกแล้ว</t>
  </si>
  <si>
    <t xml:space="preserve">C1-013</t>
  </si>
  <si>
    <t xml:space="preserve">ประโยคไหนสรุปทางเลือกที่แม็กซ์เจอได้ตรงที่สุด</t>
  </si>
  <si>
    <t xml:space="preserve">เลือกระหว่างลูกค้าเก่ากับลูกค้าใหม่</t>
  </si>
  <si>
    <t xml:space="preserve">เลือกระหว่างงานกับเวลาส่วนตัว</t>
  </si>
  <si>
    <t xml:space="preserve">เลือกระหว่างคำสั่งของหัวหน้าสองคน</t>
  </si>
  <si>
    <t xml:space="preserve">เลือกระหว่าง "ถูกตามหลัก" กับ "ถูกตามใจคน"</t>
  </si>
  <si>
    <t xml:space="preserve">บทสรุปเขียนไว้ตรงๆ ว่าแม็กซ์เจอทางเลือกที่ถูกตามหลักกับถูกตามใจคน แล้วเขาเลือกมองคนที่เดือดร้อนจริงก่อน</t>
  </si>
  <si>
    <t xml:space="preserve">C1-014</t>
  </si>
  <si>
    <t xml:space="preserve">ตอนแจ้งคุณเจว่าจะส่งของใหม่ให้ แม็กซ์บอกเรื่องลังที่หายไปว่าอย่างไร</t>
  </si>
  <si>
    <t xml:space="preserve">ขอให้คุณเจช่วยแจ้งขนส่งอีกทาง</t>
  </si>
  <si>
    <t xml:space="preserve">จะหักค่าเสียหายกับขนส่งแล้วแจ้งคุณเจทีหลัง</t>
  </si>
  <si>
    <t xml:space="preserve">เขาจะเคลียร์กับขนส่งเอง คุณเจไม่ต้องเสียเวลาไปแจ้ง</t>
  </si>
  <si>
    <t xml:space="preserve">ขอให้คุณเจเซ็นเอกสารยืนยันว่าไม่ได้รับของ</t>
  </si>
  <si>
    <t xml:space="preserve">แม็กซ์ไม่ผลักภาระให้ลูกค้าไปตามเรื่องเอง เขารับเรื่องที่ไม่ใช่ปัญหาของลูกค้ามาจัดการแทน</t>
  </si>
  <si>
    <t xml:space="preserve">C1-015</t>
  </si>
  <si>
    <t xml:space="preserve">พนักงานคลังกำลังจะเลิกงานเย็นวันศุกร์ แล้วเห็นออเดอร์ด่วนที่ร้านค้าต้องใช้เช้าวันเสาร์ค้างอยู่ ถ้าทิ้งไว้ของจะถึงวันจันทร์ ตาม Caring ควรคิดถึงอะไรก่อน</t>
  </si>
  <si>
    <t xml:space="preserve">ร้านค้าจะลำบากแค่ไหนถ้าของไปถึงช้า</t>
  </si>
  <si>
    <t xml:space="preserve">ออเดอร์นี้ไม่ใช่งานที่ตัวเองได้รับมอบหมาย</t>
  </si>
  <si>
    <t xml:space="preserve">หมดเวลางานแล้ว ไว้ค่อยว่ากันวันจันทร์</t>
  </si>
  <si>
    <t xml:space="preserve">ใครเป็นคนลืมออเดอร์นี้ไว้</t>
  </si>
  <si>
    <t xml:space="preserve">Caring เริ่มจากการมองปัญหาของคนที่ปลายทาง ไม่ใช่เริ่มจากว่าเป็นหน้าที่ใครหรือใครทำพลาด</t>
  </si>
  <si>
    <t xml:space="preserve">C1-016</t>
  </si>
  <si>
    <t xml:space="preserve">คุณทำไฟล์เสร็จแล้ว ต้องส่งให้เพื่อนอีกแผนกเอาไปทำต่อ แต่ไฟล์ยังรก ไม่มีหัวข้อ เพื่อนต้องเดาเอง ตาม Caring ควรทำอย่างไร</t>
  </si>
  <si>
    <t xml:space="preserve">ส่งไปเลย เพื่อนเก่งอยู่แล้ว</t>
  </si>
  <si>
    <t xml:space="preserve">ส่งไปก่อน แล้วรอให้เพื่อนทักมาถาม</t>
  </si>
  <si>
    <t xml:space="preserve">ส่งไปพร้อมบอกว่าไม่มีเวลาจัด</t>
  </si>
  <si>
    <t xml:space="preserve">ใช้เวลาเพิ่มอีกนิด จัดให้เพื่อนเอาไปใช้ต่อได้ง่าย</t>
  </si>
  <si>
    <t xml:space="preserve">บทนี้ให้ถามว่าเพื่อนที่ต้องทำงานต่อจะลำบากไหม การส่งงานที่เพื่อนใช้ต่อได้เลยคือการไม่โยนภาระไปให้เขา</t>
  </si>
  <si>
    <t xml:space="preserve">C1-017</t>
  </si>
  <si>
    <t xml:space="preserve">ลูกค้าหน้าร้านได้ขวดที่ฝาบุบ แล้วมาแจ้งพนักงาน ข้อไหนตรงกับ Caring ที่สุด</t>
  </si>
  <si>
    <t xml:space="preserve">บอกลูกค้าให้ติดต่อ call center</t>
  </si>
  <si>
    <t xml:space="preserve">อธิบายว่าฝาบุบมาจากโรงงาน ไม่ใช่ความผิดของร้าน</t>
  </si>
  <si>
    <t xml:space="preserve">เปลี่ยนขวดใหม่ให้ลูกค้าทันที แล้วค่อยแจ้งเรื่องไปที่ต้นทางเอง</t>
  </si>
  <si>
    <t xml:space="preserve">ให้ลูกค้าถ่ายรูปแล้วส่งอีเมลมา</t>
  </si>
  <si>
    <t xml:space="preserve">เหมือนที่แม็กซ์ส่งของใหม่ให้ก่อนแล้วค่อยไปเคลียร์เอง คือแก้ปัญหาของลูกค้าก่อน แล้วรับเรื่องหลังบ้านมาจัดการเอง</t>
  </si>
  <si>
    <t xml:space="preserve">C1-018</t>
  </si>
  <si>
    <t xml:space="preserve">ข้อใด "ไม่ใช่" สิ่งที่ Caring ในบทนี้สอน</t>
  </si>
  <si>
    <t xml:space="preserve">ห่วงความลำบากของลูกค้า</t>
  </si>
  <si>
    <t xml:space="preserve">ห่วงเพื่อนที่ต้องทำงานต่อจากเรา</t>
  </si>
  <si>
    <t xml:space="preserve">คิดก่อนว่าการตัดสินใจของเรา ใครจะเดือดร้อน</t>
  </si>
  <si>
    <t xml:space="preserve">ถ้าระบบขึ้นว่างานเสร็จแล้ว ก็ถือว่าเรื่องจบ</t>
  </si>
  <si>
    <t xml:space="preserve">ระบบขึ้น Delivered ตั้งแต่ต้นเรื่อง แต่แม็กซ์เห็นว่าในแง่ของคน เรื่องนี้ยังไม่ปิด</t>
  </si>
  <si>
    <t xml:space="preserve">C1-019</t>
  </si>
  <si>
    <t xml:space="preserve">"ในแง่ตัวเลข เรื่องนี้ปิดได้แล้ว แต่ในแง่ของคน เรื่องนี้ยังไม่ปิด" ประโยคนี้บอกอะไร</t>
  </si>
  <si>
    <t xml:space="preserve">ถึงเอกสารและตัวเลขจะครบ แต่ถ้ายังมีคนเดือดร้อนอยู่ เรื่องก็ยังไม่จบ</t>
  </si>
  <si>
    <t xml:space="preserve">ตัวเลขสำคัญกว่าคนเสมอ</t>
  </si>
  <si>
    <t xml:space="preserve">เราไม่ควรดูตัวเลขเลย</t>
  </si>
  <si>
    <t xml:space="preserve">คนที่ดูแลตัวเลขมักคิดผิด</t>
  </si>
  <si>
    <t xml:space="preserve">บทนี้ไม่ได้บอกว่าตัวเลขไม่สำคัญ แต่เตือนว่าอย่าหยุดคิดแค่ตรงที่ตัวเลขปิด ให้มองคนที่อยู่ปลายทางด้วย</t>
  </si>
  <si>
    <t xml:space="preserve">C1-020</t>
  </si>
  <si>
    <t xml:space="preserve">เมื่อถูกถามถึงค่าส่งด่วนที่ยังไม่ได้ขออนุมัติ แม็กซ์ตอบว่าอย่างไร</t>
  </si>
  <si>
    <t xml:space="preserve">ยอมรับว่าเป็นคนกดเอง และพร้อมรับผิดชอบค่าใช้จ่ายส่วนนี้</t>
  </si>
  <si>
    <t xml:space="preserve">บอกว่าบอมเป็นคนแนะนำให้ส่ง</t>
  </si>
  <si>
    <t xml:space="preserve">บอกว่าพี่กบเป็นคนกดยืนยัน</t>
  </si>
  <si>
    <t xml:space="preserve">บอกว่าระบบกดอนุมัติให้อัตโนมัติ</t>
  </si>
  <si>
    <t xml:space="preserve">แม็กซ์ไม่โยนให้ใคร เขาบอกตรงๆ ว่าตัดสินใจเองเพราะถ้ารออนุมัติ ของจะไม่ทันร้านเปิด</t>
  </si>
  <si>
    <t xml:space="preserve">C1-021</t>
  </si>
  <si>
    <t xml:space="preserve">หัวหน้ากะในโรงงานสั่งเพิ่มล็อตผลิตด่วนตอนบ่าย 4 โมง ทำให้ทีมบรรจุต้องอยู่ต่อ ตามแนวคิดของแม็กซ์กับพี่กบ หัวหน้ากะควรทำอะไรเพิ่ม</t>
  </si>
  <si>
    <t xml:space="preserve">ปล่อยให้ทีมบรรจุจัดการกันเอง</t>
  </si>
  <si>
    <t xml:space="preserve">ส่งข้อความขอบคุณทีมในวันรุ่งขึ้น</t>
  </si>
  <si>
    <t xml:space="preserve">อยู่ช่วยหรือดูแลทีมที่ต้องทำงานต่อจากคำสั่งของตัวเอง</t>
  </si>
  <si>
    <t xml:space="preserve">สั่งเสร็จแล้วกลับบ้าน เพราะเป็นงานในหน้าที่ของทีม</t>
  </si>
  <si>
    <t xml:space="preserve">แม็กซ์ไม่ได้แค่สั่งแล้วกลับบ้าน เขาลงไปช่วยพี่กบ เพราะคำสั่งของเขาทำให้พี่กบต้องลำบาก</t>
  </si>
  <si>
    <t xml:space="preserve">C1-022</t>
  </si>
  <si>
    <t xml:space="preserve">คำว่า "เดือดร้อนแทนลูกค้า" หมายถึงอะไร</t>
  </si>
  <si>
    <t xml:space="preserve">รับรู้ปัญหาแล้วรอคำสั่งจากหัวหน้า</t>
  </si>
  <si>
    <t xml:space="preserve">ขอโทษลูกค้าให้มากที่สุด</t>
  </si>
  <si>
    <t xml:space="preserve">ทำตามทุกอย่างที่ลูกค้าขอ</t>
  </si>
  <si>
    <t xml:space="preserve">มองปัญหาจากมุมลูกค้า รู้สึกถึงความลำบากของเขา แล้วคิดหาทางช่วยก่อน</t>
  </si>
  <si>
    <t xml:space="preserve">handbook เขียนว่า เรามองไปที่ปัญหาของลูกค้า รู้สึกเดือดร้อนแทน แล้วคิดหาทางช่วยลูกค้าก่อน</t>
  </si>
  <si>
    <t xml:space="preserve">C1-023</t>
  </si>
  <si>
    <t xml:space="preserve">คุณกำลังจะเปลี่ยนวันส่งของรอบประจำจากวันจันทร์เป็นวันพุธ เพื่อให้คลังจัดของง่ายขึ้น ตาม Caring ควรคิดอะไรก่อนประกาศ</t>
  </si>
  <si>
    <t xml:space="preserve">วันพุธคลังว่างกว่าจริงหรือไม่</t>
  </si>
  <si>
    <t xml:space="preserve">หัวหน้าเซ็นอนุมัติแล้วหรือยัง</t>
  </si>
  <si>
    <t xml:space="preserve">ลูกค้าหรือทีมไหนบ้างที่จะได้รับผลกระทบ</t>
  </si>
  <si>
    <t xml:space="preserve">จะประกาศผ่านช่องทางไหน</t>
  </si>
  <si>
    <t xml:space="preserve">ก่อนเปลี่ยนอะไรที่กระทบคนอื่น ให้ถามก่อนว่าใครจะเดือดร้อนบ้าง แล้วหาทางดูแลคนเหล่านั้น</t>
  </si>
  <si>
    <t xml:space="preserve">C1-024</t>
  </si>
  <si>
    <t xml:space="preserve">บอม "พูดไม่ผิดสักคำ" แต่ทำไมแม็กซ์ถึงไม่ทำตาม</t>
  </si>
  <si>
    <t xml:space="preserve">เพราะบอมเป็นรุ่นน้อง</t>
  </si>
  <si>
    <t xml:space="preserve">เพราะแม็กซ์ไม่เชื่อตัวเลขของบอม</t>
  </si>
  <si>
    <t xml:space="preserve">เพราะสิ่งที่บอมพูดถูกในแง่ตัวเลข แต่ยังไม่ได้มองคนที่กำลังเดือดร้อน</t>
  </si>
  <si>
    <t xml:space="preserve">เพราะบอมไม่เข้าใจเรื่องขนส่ง</t>
  </si>
  <si>
    <t xml:space="preserve">บอมไม่ได้ผิด เขามองแค่ด้านเดียว และพอแม็กซ์อธิบายมุมของคุณเจ บอมก็เห็นด้วยว่า "ถ้าคิดแบบนั้นก็จริง"</t>
  </si>
  <si>
    <t xml:space="preserve">C1-025</t>
  </si>
  <si>
    <t xml:space="preserve">ร้านค้า Modern Trade แจ้งว่าได้รับของขาดไป 2 ลัง ทั้งที่ใบรับสินค้าที่เซ็นกลับมาระบุว่าครบ ข้อไหนสะท้อน Caring ที่สุด</t>
  </si>
  <si>
    <t xml:space="preserve">เช็คสต็อกแล้วส่งส่วนที่ขาดให้ร้านก่อน ส่วนเรื่องว่าหายที่ไหนค่อยตามตรวจเองทีหลัง</t>
  </si>
  <si>
    <t xml:space="preserve">แจ้งร้านว่าเอกสารระบุครบ บริษัทจึงรับผิดชอบไม่ได้</t>
  </si>
  <si>
    <t xml:space="preserve">ขอให้ร้านนับสต็อกใหม่แล้วแจ้งกลับมา</t>
  </si>
  <si>
    <t xml:space="preserve">รอสรุปผลตรวจสอบภายในให้เสร็จก่อน แล้วค่อยพิจารณาส่งเพิ่ม</t>
  </si>
  <si>
    <t xml:space="preserve">เหมือนเรื่องของคุณเจ เอกสารครบไม่ได้แปลว่าลูกค้าไม่เดือดร้อน ให้แก้ปัญหาของลูกค้าก่อน แล้วรับเรื่องตรวจสอบมาทำเอง</t>
  </si>
  <si>
    <t xml:space="preserve">C1-026</t>
  </si>
  <si>
    <t xml:space="preserve">คุณเป็นแอดมินฝ่ายขาย ได้ออเดอร์ด่วนตอน 5 โมงเย็นที่ต้องส่งพรุ่งนี้เช้า คุณส่งคำสั่งเข้าระบบไปคลังแล้ว ข้อไหนเป็น Caring ต่อเพื่อนร่วมงานที่สุด</t>
  </si>
  <si>
    <t xml:space="preserve">ไม่ต้องบอกอะไร เพราะคลังจะเห็นคำสั่งในระบบเอง</t>
  </si>
  <si>
    <t xml:space="preserve">โทรบอกคลังล่วงหน้า และถามว่ามีอะไรให้ช่วยไหม เพราะงานนี้ทำให้เขาต้องทำเพิ่ม</t>
  </si>
  <si>
    <t xml:space="preserve">ส่งคำสั่งแล้วกลับบ้านได้เลย เพราะเป็นหน้าที่ของคลัง</t>
  </si>
  <si>
    <t xml:space="preserve">ยืนยันกับลูกค้าก่อนว่าได้ของแน่นอน โดยไม่ต้องเช็คกับคลัง</t>
  </si>
  <si>
    <t xml:space="preserve">บทนี้สอนให้ถามว่าเพื่อนที่ต้องทำงานต่อจากเราจะลำบากไหม การบอกล่วงหน้าและเสนอช่วยคือการไม่ทิ้งให้เขาแบกคนเดียว</t>
  </si>
  <si>
    <t xml:space="preserve">C1-027</t>
  </si>
  <si>
    <t xml:space="preserve">ลูกค้าขอให้ส่งของเร็วขึ้น 1 วันเพราะมีงานอีเวนต์ ถ้าทำให้ได้ต้องจ่ายค่าส่งเพิ่ม ซึ่งทำให้กำไรของออเดอร์นี้ลดลง ตามแนวคิดในบทนี้ ควรคิดอย่างไร</t>
  </si>
  <si>
    <t xml:space="preserve">ปฏิเสธ เพราะทำให้กำไรลดลง</t>
  </si>
  <si>
    <t xml:space="preserve">ชั่งดูว่าถ้าของไม่ทัน ลูกค้าจะเดือดร้อนแค่ไหน เทียบกับกำไรที่ลดลงในระยะสั้น</t>
  </si>
  <si>
    <t xml:space="preserve">ทำตามทุกครั้งที่ลูกค้าขอ โดยไม่ต้องคิด</t>
  </si>
  <si>
    <t xml:space="preserve">ให้ลูกค้าจ่ายค่าส่งส่วนต่างเองทุกครั้ง</t>
  </si>
  <si>
    <t xml:space="preserve">แม็กซ์ชั่งระหว่าง margin ลังเดียวกับวันเปิดร้านของลูกค้า Caring ไม่ได้แปลว่าไม่สนต้นทุน แต่ให้ชั่งกับความเดือดร้อนจริงของคน</t>
  </si>
  <si>
    <t xml:space="preserve">C1-028</t>
  </si>
  <si>
    <t xml:space="preserve">คุณอยากเปลี่ยนวิธีจัดเรียงของในคลังให้ตัวเองหยิบง่ายขึ้น แต่กะกลางคืนต้องมาเรียนรู้ตำแหน่งใหม่หมด ตาม Caring ควรทำอะไรก่อน</t>
  </si>
  <si>
    <t xml:space="preserve">เปลี่ยนเลย เพราะวิธีใหม่เร็วกว่าเดิม</t>
  </si>
  <si>
    <t xml:space="preserve">เปลี่ยนแล้วติดป้ายบอกไว้ก็พอ</t>
  </si>
  <si>
    <t xml:space="preserve">รอให้หัวหน้าสั่งให้เปลี่ยนก่อน</t>
  </si>
  <si>
    <t xml:space="preserve">คุยกับกะกลางคืนก่อนว่าจะลำบากตรงไหน แล้วหาวิธีที่ไม่ทำให้เขาเดือดร้อน</t>
  </si>
  <si>
    <t xml:space="preserve">ก่อนตัดสินใจ ให้ถามว่าถ้าทำแบบนี้ใครจะเดือดร้อน แล้วเลือกทางที่ดูแลคนเหล่านั้นด้วย ไม่ใช่แค่ทางที่ดีกับตัวเอง</t>
  </si>
  <si>
    <t xml:space="preserve">C1-029</t>
  </si>
  <si>
    <t xml:space="preserve">ลูกค้าโทรมาต่อว่าว่าสินค้ามีรสแปลก คุณไม่ได้เป็นคนผลิตหรือขายสินค้าล็อตนั้น ตาม Caring ควรเริ่มอย่างไร</t>
  </si>
  <si>
    <t xml:space="preserve">บอกว่าไม่ใช่แผนกตัวเอง แล้วให้เบอร์แผนกที่เกี่ยวข้อง</t>
  </si>
  <si>
    <t xml:space="preserve">รับเรื่องไว้เอง ดูแลปัญหาของลูกค้าก่อน แล้วค่อยประสานต่อภายใน โดยไม่ให้ลูกค้าต้องตามเอง</t>
  </si>
  <si>
    <t xml:space="preserve">อธิบายว่าสินค้าผ่าน QC ทุกล็อต</t>
  </si>
  <si>
    <t xml:space="preserve">ถามก่อนว่าลูกค้าเก็บรักษาถูกวิธีหรือเปล่า</t>
  </si>
  <si>
    <t xml:space="preserve">แม็กซ์บอกคุณเจว่าไม่ต้องเสียเวลาไปแจ้งเอง Caring คือไม่ผลักภาระให้คนที่เดือดร้อนอยู่แล้วต้องไปวิ่งตามเรื่องต่อ</t>
  </si>
  <si>
    <t xml:space="preserve">C1-030</t>
  </si>
  <si>
    <t xml:space="preserve">คุณใช้ทางลัดทำงานเสร็จเร็วขึ้น แต่ทำให้ทีมที่รับงานต่อต้องมาแก้ข้อมูลเพิ่มทุกครั้ง ข้อไหนตรงกับ Caring</t>
  </si>
  <si>
    <t xml:space="preserve">ทำต่อ เพราะงานของตัวเองเสร็จตามเป้า</t>
  </si>
  <si>
    <t xml:space="preserve">แจ้งทีมถัดไปให้ปรับตัวตามเอง</t>
  </si>
  <si>
    <t xml:space="preserve">ทำต่อไปจนกว่าจะมีคนร้องเรียน</t>
  </si>
  <si>
    <t xml:space="preserve">ปรับวิธีทำงาน แม้ตัวเองจะช้าลงนิด เพื่อไม่ให้ทีมถัดไปลำบาก</t>
  </si>
  <si>
    <t xml:space="preserve">Caring ถามว่าเพื่อนที่ต้องทำงานต่อจะลำบากไหม งานที่เร็วสำหรับเราแต่โยนภาระไปให้คนถัดไป ไม่ใช่งานที่เสร็จจริง</t>
  </si>
  <si>
    <t xml:space="preserve">C1-031</t>
  </si>
  <si>
    <t xml:space="preserve">ผู้จัดการร้านค้าปลีกแจ้งว่าป้ายราคาโปรโมชันที่ส่งไปพิมพ์ผิด พรุ่งนี้โปรจะเริ่มแล้ว ตาม Caring ควรทำอะไร</t>
  </si>
  <si>
    <t xml:space="preserve">แจ้งว่าต้องรอฝ่ายการตลาดแก้ไฟล์ก่อน</t>
  </si>
  <si>
    <t xml:space="preserve">หาทางแก้ให้ทันก่อนโปรเริ่ม เช่นส่งป้ายใหม่หรือไปช่วยเปลี่ยน แล้วค่อยหาว่าผิดตรงไหนทีหลัง</t>
  </si>
  <si>
    <t xml:space="preserve">ให้ร้านเขียนแก้ราคาบนป้ายเอง</t>
  </si>
  <si>
    <t xml:space="preserve">แจ้งว่าจะแก้ให้ในโปรรอบหน้า</t>
  </si>
  <si>
    <t xml:space="preserve">เหมือนแม็กซ์ที่เห็นว่าวันเปิดร้านของลูกค้าสำคัญที่สุด ให้แก้ปัญหาที่ลูกค้ากำลังจะเจอก่อน เรื่องหาต้นเหตุค่อยทำทีหลัง</t>
  </si>
  <si>
    <t xml:space="preserve">C1-032</t>
  </si>
  <si>
    <t xml:space="preserve">ข้อไหนเป็นตัวอย่างของ "ถูกตามหลัก แต่ยังไม่ Caring"</t>
  </si>
  <si>
    <t xml:space="preserve">ส่งของใหม่ให้ลูกค้าก่อน แล้วไปตามเรื่องกับขนส่งเอง</t>
  </si>
  <si>
    <t xml:space="preserve">ลงไปช่วยเพื่อนที่ต้องทำงานเพิ่มเพราะคำสั่งของเรา</t>
  </si>
  <si>
    <t xml:space="preserve">ถามตัวเองก่อนว่าการตัดสินใจนี้ใครจะเดือดร้อน</t>
  </si>
  <si>
    <t xml:space="preserve">ตอบลูกค้าว่า "ระบบขึ้นว่าส่งถึงแล้วครับ รบกวนติดต่อขนส่งเอง" ทั้งที่ลูกค้ายังไม่ได้ของ</t>
  </si>
  <si>
    <t xml:space="preserve">คำตอบนี้คือสิ่งที่แม็กซ์เกือบพิมพ์ไป ถูกทุกขั้นตอน แต่ทิ้งให้ลูกค้าที่กำลังเดือดร้อนต้องไปจัดการเอง</t>
  </si>
  <si>
    <t xml:space="preserve">C1-033</t>
  </si>
  <si>
    <t xml:space="preserve">คุณลืมส่ง brief ให้ทีมกราฟิก จนตอนนี้ต้องขอให้เขาแก้งานด่วนให้เสร็จภายในคืนนี้ ข้อไหนตรงกับ Caring ที่สุด</t>
  </si>
  <si>
    <t xml:space="preserve">ยอมรับว่าเกิดจากเรา และอยู่ช่วยเท่าที่ทำได้ เช่นตอบคำถามทันที และตรวจงานทันทีที่ส่งมา</t>
  </si>
  <si>
    <t xml:space="preserve">ส่งงานไปแล้วกลับบ้าน เพราะกราฟิกเป็นคนทำ</t>
  </si>
  <si>
    <t xml:space="preserve">บอกทีมว่าลูกค้าเร่งมา จึงต้องด่วน</t>
  </si>
  <si>
    <t xml:space="preserve">รอดูงานพรุ่งนี้เช้า แล้วค่อยให้แก้เพิ่ม</t>
  </si>
  <si>
    <t xml:space="preserve">แม็กซ์ลงไปช่วยพี่กบเพราะรู้ว่าคำสั่งของตัวเองทำให้เขาลำบาก เมื่อเราเป็นต้นเหตุให้คนอื่นต้องทำงานหนัก เราควรอยู่ช่วยแบกด้วย</t>
  </si>
  <si>
    <t xml:space="preserve">C1-034</t>
  </si>
  <si>
    <t xml:space="preserve">ก่อนส่งอีเมลแจ้งเปลี่ยนเงื่อนไขการชำระเงินให้คู่ค้าทุกราย ตาม Caring คุณควรถามตัวเองว่าอะไร</t>
  </si>
  <si>
    <t xml:space="preserve">คู่ค้าที่เงินหมุนไม่คล่องจะเดือดร้อนแค่ไหน และเราช่วยให้เขาปรับตัวได้อย่างไร</t>
  </si>
  <si>
    <t xml:space="preserve">อีเมลนี้ถูกต้องตามนโยบายหรือยัง</t>
  </si>
  <si>
    <t xml:space="preserve">ต้องให้ใครเซ็นอนุมัติบ้าง</t>
  </si>
  <si>
    <t xml:space="preserve">ควรส่งเวลาไหนให้คนเปิดอ่านมากที่สุด</t>
  </si>
  <si>
    <t xml:space="preserve">ตัวเลือกอื่นเป็นเรื่องที่ต้องทำเหมือนกัน แต่คำถามแบบ Caring คือถ้าเราทำแบบนี้ ใครจะเดือดร้อนบ้าง</t>
  </si>
  <si>
    <t xml:space="preserve">C1-035</t>
  </si>
  <si>
    <t xml:space="preserve">ลูกค้าสั่งผิดรสเอง แล้วโทรมาขอเปลี่ยนเพราะต้องใช้จัดงานพรุ่งนี้ ข้อไหนใกล้เคียง Caring มากที่สุด</t>
  </si>
  <si>
    <t xml:space="preserve">แจ้งว่าเป็นความผิดของลูกค้า จึงเปลี่ยนให้ไม่ได้</t>
  </si>
  <si>
    <t xml:space="preserve">ให้ลูกค้าสั่งใหม่ตามรอบส่งปกติ</t>
  </si>
  <si>
    <t xml:space="preserve">ดูว่าช่วยได้แค่ไหน เช่นเช็คสต็อกและหาทางส่งรสที่ถูกให้ทัน แทนที่จะตอบแค่ว่าลูกค้าสั่งผิดเอง</t>
  </si>
  <si>
    <t xml:space="preserve">แนะนำให้ลูกค้าใช้รสที่ได้ไปก่อน</t>
  </si>
  <si>
    <t xml:space="preserve">Caring มองที่ปัญหาของลูกค้า ไม่ได้เริ่มจากว่าใครผิด เหมือนที่แม็กซ์ไม่ได้หยุดอยู่ที่ว่าเป็นความผิดของขนส่ง</t>
  </si>
  <si>
    <t xml:space="preserve">C1-036</t>
  </si>
  <si>
    <t xml:space="preserve">ทำไมพี่ดาราถึงบอกว่าแม็กซ์ "ไม่ได้ตัดสินใจเกินหน้าที่"</t>
  </si>
  <si>
    <t xml:space="preserve">เพราะค่าส่งด่วนไม่ได้แพงมาก</t>
  </si>
  <si>
    <t xml:space="preserve">เพราะแม็กซ์เป็นหัวหน้าทีม</t>
  </si>
  <si>
    <t xml:space="preserve">เพราะสิ่งที่แม็กซ์ทำตรงกับที่ handbook ของบริษัทเขียนไว้ว่าให้ส่งของใหม่ก่อน แล้วเคลียร์กับขนส่งเองทีหลัง</t>
  </si>
  <si>
    <t xml:space="preserve">เพราะคุณเจเป็นลูกค้า VIP</t>
  </si>
  <si>
    <t xml:space="preserve">พี่ดาราเปิด handbook หน้า 14 ชี้บรรทัดนั้นให้ดู แม็กซ์ใช้ value ของบริษัทเป็นเข็มทิศ จึงไม่ใช่การตัดสินใจเกินหน้าที่</t>
  </si>
  <si>
    <t xml:space="preserve">C1-037</t>
  </si>
  <si>
    <t xml:space="preserve">พนักงานขายรับปากลูกค้าว่าจะส่งของด่วนให้ภายในวันเดียว โดยไม่ได้เช็คกับคลังก่อน ตามมุมมอง Caring ข้อไหนคือปัญหา</t>
  </si>
  <si>
    <t xml:space="preserve">ไม่มีปัญหา เพราะลูกค้าได้ของเร็ว</t>
  </si>
  <si>
    <t xml:space="preserve">ลูกค้าอาจได้ประโยชน์ แต่คลังต้องรับภาระงานที่ไม่ได้เตรียมตัว ซึ่ง Caring ต้องคิดถึงคนที่ทำงานต่อจากเราด้วย</t>
  </si>
  <si>
    <t xml:space="preserve">ปัญหาคือทำให้ขายได้น้อยลง</t>
  </si>
  <si>
    <t xml:space="preserve">ปัญหาคือคลังจะได้เครดิตแทนฝ่ายขาย</t>
  </si>
  <si>
    <t xml:space="preserve">Caring มี 2 มุม คือลูกค้า และเพื่อนที่ต้องทำงานต่อ ถ้าดูแลแค่มุมเดียวแล้วโยนความลำบากให้อีกฝั่ง ยังไม่ครบ</t>
  </si>
  <si>
    <t xml:space="preserve">C1-038</t>
  </si>
  <si>
    <t xml:space="preserve">คุณได้รับโจทย์ให้ลดต้นทุนบรรจุภัณฑ์ ทางเลือกหนึ่งคือเปลี่ยนเป็นกล่องที่บางลงซึ่งถูกกว่า แต่มีโอกาสยุบระหว่างขนส่ง ตาม Caring ควรพิจารณาอะไรเพิ่ม</t>
  </si>
  <si>
    <t xml:space="preserve">ต้นทุนลดลงได้กี่เปอร์เซ็นต์</t>
  </si>
  <si>
    <t xml:space="preserve">supplier ส่งกล่องได้เร็วแค่ไหน</t>
  </si>
  <si>
    <t xml:space="preserve">ลูกค้าที่ได้กล่องยุบ และทีมที่ต้องรับเรื่องเคลม จะเดือดร้อนแค่ไหน</t>
  </si>
  <si>
    <t xml:space="preserve">กล่องใหม่ดีไซน์สวยกว่าเดิมไหม</t>
  </si>
  <si>
    <t xml:space="preserve">การตัดสินใจเรื่องต้นทุนก็ต้องถามว่าใครจะเดือดร้อนบ้าง ทั้งลูกค้าที่ปลายทาง และเพื่อนที่ต้องมารับงานต่อจากผลของการตัดสินใจนี้</t>
  </si>
  <si>
    <t xml:space="preserve">C1-039</t>
  </si>
  <si>
    <t xml:space="preserve">ทำไมการบอกให้ลูกค้าไปแจ้งขนส่งเอง ถึงไม่ Caring แม้เราจะไม่ได้เป็นคนทำของหาย</t>
  </si>
  <si>
    <t xml:space="preserve">เพราะขนส่งจะไม่ยอมตอบลูกค้า</t>
  </si>
  <si>
    <t xml:space="preserve">เพราะลูกค้าไม่รู้ขั้นตอนการเคลม</t>
  </si>
  <si>
    <t xml:space="preserve">เพราะเป็นการผลักภาระไปให้คนที่เดือดร้อนอยู่แล้ว แทนที่เราจะรับไปจัดการเอง</t>
  </si>
  <si>
    <t xml:space="preserve">เพราะบริษัทจะโดนค่าปรับ</t>
  </si>
  <si>
    <t xml:space="preserve">ถึงเราจะไม่ใช่คนผิด แต่ Caring คือการดูแลความลำบากของลูกค้า แม็กซ์เลยบอกว่า "พี่ไม่ต้องเสียเวลาไปแจ้งเอง"</t>
  </si>
  <si>
    <t xml:space="preserve">C1-040</t>
  </si>
  <si>
    <t xml:space="preserve">พี่วินบอกว่า "ผมอยากให้ทุกคนในบริษัทตัดสินใจแบบนี้แหละ ตอนที่ไม่มีใครสั่ง" หมายความว่าอะไร</t>
  </si>
  <si>
    <t xml:space="preserve">ต่อไปไม่ต้องขออนุมัติอะไรอีกแล้ว</t>
  </si>
  <si>
    <t xml:space="preserve">อยากให้ทุกคนใช้ value ของบริษัทเป็นเข็มทิศตัดสินใจได้เอง เมื่อเจอสถานการณ์ที่ไม่มีใครบอก</t>
  </si>
  <si>
    <t xml:space="preserve">ให้ตัดสินใจเองทุกเรื่อง เพื่อให้งานเร็วขึ้น</t>
  </si>
  <si>
    <t xml:space="preserve">หัวหน้าไม่อยากรับผิดชอบการตัดสินใจ</t>
  </si>
  <si>
    <t xml:space="preserve">value มีไว้ให้ทุกคนตัดสินใจได้ถูกทาง แม้ไม่มีใครอยู่สั่ง ไม่ได้แปลว่ายกเลิกการอนุมัติทั้งหมด</t>
  </si>
  <si>
    <t xml:space="preserve">C1-041</t>
  </si>
  <si>
    <t xml:space="preserve">ในที่ประชุมมีคนเสนอให้ยกเลิกส่งฟรีสำหรับร้านค้าเล็ก เพื่อให้ตัวเลขไตรมาสดูดีขึ้น ร้านพวกนี้สั่งน้อยแต่สั่งสม่ำเสมอ ตาม Caring คำถามไหนควรถูกยกขึ้นมาก่อน</t>
  </si>
  <si>
    <t xml:space="preserve">ตัวเลขไตรมาสจะดีขึ้นกี่เปอร์เซ็นต์</t>
  </si>
  <si>
    <t xml:space="preserve">ร้านค้าเล็กเหล่านี้จะเดือดร้อนแค่ไหน และมีทางอื่นที่ไม่ทำให้เขาลำบากไหม</t>
  </si>
  <si>
    <t xml:space="preserve">คู่แข่งทำแบบนี้ไปแล้วหรือยัง</t>
  </si>
  <si>
    <t xml:space="preserve">ต้องแจ้งร้านค้าล่วงหน้ากี่วัน</t>
  </si>
  <si>
    <t xml:space="preserve">บทสรุปบอกให้เลือกทางที่ดูแลคนที่เดือดร้อน แม้บางครั้งจะแลกกับตัวเลขที่ไม่สวยในระยะสั้น</t>
  </si>
  <si>
    <t xml:space="preserve">C1-042</t>
  </si>
  <si>
    <t xml:space="preserve">ลูกค้าขายส่งทักมาตอน 3 ทุ่มว่าของที่ส่งไปแตก 5 ขวด และพรุ่งนี้ต้องเปิดร้าน ข้อไหนเหมาะที่สุด</t>
  </si>
  <si>
    <t xml:space="preserve">ตอบพรุ่งนี้เช้า เพราะเป็นเวลานอกงาน</t>
  </si>
  <si>
    <t xml:space="preserve">ขอให้ลูกค้าส่งรูปทุกขวดมาก่อนค่อยพิจารณา</t>
  </si>
  <si>
    <t xml:space="preserve">แจ้งว่ารายการเสียหายต้องยื่นเคลมภายใน 7 วัน</t>
  </si>
  <si>
    <t xml:space="preserve">ตอบรับทันที บอกว่าจะเปลี่ยนให้ และแจ้งเวลาที่ของใหม่จะไปถึง ให้ลูกค้าไม่ต้องกังวลทั้งคืน</t>
  </si>
  <si>
    <t xml:space="preserve">แม็กซ์ตอบคุณเจตั้งแต่เย็นวันนั้น พร้อมบอกชัดว่าของจะถึงก่อน 6 โมงเช้า ลูกค้าเลยไม่ต้องนอนกังวล</t>
  </si>
  <si>
    <t xml:space="preserve">C1-043</t>
  </si>
  <si>
    <t xml:space="preserve">ข้อไหนเป็นการถามตัวเองก่อนตัดสินใจแบบ Caring ได้ดีที่สุด</t>
  </si>
  <si>
    <t xml:space="preserve">ถ้าฉันเลื่อนงานนี้ จะโดนหัวหน้าว่าไหม</t>
  </si>
  <si>
    <t xml:space="preserve">ถ้าฉันเลื่อนงานนี้ไปพรุ่งนี้ ใครบ้างที่ต้องรอ และเขาจะลำบากแค่ไหน</t>
  </si>
  <si>
    <t xml:space="preserve">ถ้าฉันเลื่อนงานนี้ ยอดของฉันจะตกไหม</t>
  </si>
  <si>
    <t xml:space="preserve">ถ้าฉันเลื่อนงานนี้ จะมีใครรู้ไหม</t>
  </si>
  <si>
    <t xml:space="preserve">คำถามแบบ Caring มองไปที่คนอื่นที่ได้รับผลกระทบ ส่วนตัวเลือกอื่นมองกลับมาที่ตัวเองทั้งหมด</t>
  </si>
  <si>
    <t xml:space="preserve">C1-044</t>
  </si>
  <si>
    <t xml:space="preserve">ข้อไหนคือเหตุผลที่แม็กซ์กดยืนยันส่งด่วนเองโดยไม่รออนุมัติ</t>
  </si>
  <si>
    <t xml:space="preserve">ค่าส่งด่วนอยู่ในวงเงินที่เขาอนุมัติเองได้อยู่แล้ว</t>
  </si>
  <si>
    <t xml:space="preserve">เขาคิดว่าไม่มีใครตรวจรายงาน</t>
  </si>
  <si>
    <t xml:space="preserve">ถ้ารอขออนุมัติพรุ่งนี้เช้า ของจะไม่ทันวันเปิดร้านของลูกค้า</t>
  </si>
  <si>
    <t xml:space="preserve">พี่ดาราบอกไว้ล่วงหน้าแล้วว่าทำได้</t>
  </si>
  <si>
    <t xml:space="preserve">แม็กซ์บอกเองว่า "ถ้ารอขออนุมัติพรุ่งนี้เช้า ของก็ไม่ทันร้านพี่เจเปิด" เหตุผลของเขาอยู่ที่ความเดือดร้อนของลูกค้า</t>
  </si>
  <si>
    <t xml:space="preserve">C1-045</t>
  </si>
  <si>
    <t xml:space="preserve">คุณเป็นคนเปลี่ยนตารางเครื่องจักรของกะเช้า ทำให้กะบ่ายต้องล้างเครื่องเพิ่มอีก 1 รอบ ข้อไหนเป็น Caring</t>
  </si>
  <si>
    <t xml:space="preserve">ไม่ต้องแจ้ง เพราะการล้างเครื่องเป็นหน้าที่ของกะบ่ายอยู่แล้ว</t>
  </si>
  <si>
    <t xml:space="preserve">ค่อยแจ้งหลังจากกะบ่ายเจอเอง</t>
  </si>
  <si>
    <t xml:space="preserve">แจ้งกะบ่ายล่วงหน้า อธิบายเหตุผล และช่วยเตรียมสิ่งที่ลดงานให้เขาได้</t>
  </si>
  <si>
    <t xml:space="preserve">ให้หัวหน้ากะบ่ายเป็นคนไปบอกทีมเอง</t>
  </si>
  <si>
    <t xml:space="preserve">เมื่อการตัดสินใจของเราทำให้คนถัดไปต้องทำงานเพิ่ม Caring คือไม่ปล่อยให้เขาไปเจอเอง และช่วยลดภาระเท่าที่ทำได้</t>
  </si>
  <si>
    <t xml:space="preserve">C1-046</t>
  </si>
  <si>
    <t xml:space="preserve">คุณเจอว่าลูกค้าโอนเงินเกินจากใบแจ้งหนี้ ระบบไม่ได้เตือน และยังไม่มีใครรู้ ตาม Caring ควรทำอย่างไร</t>
  </si>
  <si>
    <t xml:space="preserve">เก็บไว้เป็นเครดิตโดยไม่ต้องแจ้ง</t>
  </si>
  <si>
    <t xml:space="preserve">รอให้ลูกค้าทักมาถามเอง</t>
  </si>
  <si>
    <t xml:space="preserve">นับเป็นยอดรับเงินของเดือนนี้ไปก่อน</t>
  </si>
  <si>
    <t xml:space="preserve">แจ้งลูกค้าและคืนส่วนเกินให้ เพราะถ้าเขามารู้ทีหลัง เขาจะเสียทั้งเงินและความรู้สึก</t>
  </si>
  <si>
    <t xml:space="preserve">ในแง่ตัวเลข เงินเข้ามาแล้วเรื่องก็ปิดได้ แต่ Caring คือมองจากมุมลูกค้าว่าเขากำลังเสียหายอยู่โดยไม่รู้ตัว</t>
  </si>
  <si>
    <t xml:space="preserve">C1-047</t>
  </si>
  <si>
    <t xml:space="preserve">ข้อไหนเป็น Caring ที่มองลูกค้าลึกกว่าแค่ "ส่งของให้ถึง"</t>
  </si>
  <si>
    <t xml:space="preserve">รู้ว่าลูกค้าจะใช้ของวันไหนเพื่ออะไร แล้ววางแผนให้ทันเวลาที่เขาต้องใช้จริง</t>
  </si>
  <si>
    <t xml:space="preserve">ส่งของให้ตรงตามจำนวนในใบสั่ง</t>
  </si>
  <si>
    <t xml:space="preserve">ส่งเอกสารยืนยันการจัดส่งทุกครั้ง</t>
  </si>
  <si>
    <t xml:space="preserve">ตอบข้อความลูกค้าภายใน 24 ชั่วโมง</t>
  </si>
  <si>
    <t xml:space="preserve">แม็กซ์ไม่ได้มองแค่ว่าของส่งถึงตามระบบ แต่มองว่าคุณเจต้องมีของบนชั้นก่อนเปิดร้าน 8 โมงเช้า</t>
  </si>
  <si>
    <t xml:space="preserve">C1-048</t>
  </si>
  <si>
    <t xml:space="preserve">คุณเป็นคนตรวจงานคนสุดท้ายก่อนส่งลูกค้า เห็นจุดผิดเล็กน้อยที่ต้องใช้เวลาแก้ 20 นาที และจะทำให้คุณกลับบ้านช้า ตาม Caring ควรคิดอย่างไร</t>
  </si>
  <si>
    <t xml:space="preserve">จุดผิดเล็กน้อย ลูกค้าคงไม่ทันสังเกต</t>
  </si>
  <si>
    <t xml:space="preserve">ไม่ใช่จุดที่ตัวเองทำผิด</t>
  </si>
  <si>
    <t xml:space="preserve">ถ้าส่งไปแบบนี้ ลูกค้าหรือทีมที่ต้องตามแก้ทีหลังจะลำบากกว่าไหม</t>
  </si>
  <si>
    <t xml:space="preserve">แจ้งเจ้าของงานพรุ่งนี้เช้าก็ได้</t>
  </si>
  <si>
    <t xml:space="preserve">แม็กซ์เองก็กลับบ้านเกือบสามทุ่ม เพราะเขาถามว่าถ้าไม่ทำ ใครจะเดือดร้อน คำถามเดียวกันใช้ได้กับงานทุกขนาด</t>
  </si>
  <si>
    <t xml:space="preserve">C1-049</t>
  </si>
  <si>
    <t xml:space="preserve">สถานการณ์ใดคล้ายการตัดสินใจของแม็กซ์ที่บริษัทชื่นชมมากที่สุด</t>
  </si>
  <si>
    <t xml:space="preserve">ลูกค้ากำลังจะเสียหายหนักภายในคืนนี้ ต้นทุนที่ต้องจ่ายเพิ่มน้อยเมื่อเทียบกัน และเรากล้าบอกตรงๆ ว่าเราเป็นคนตัดสินใจเอง</t>
  </si>
  <si>
    <t xml:space="preserve">อยากให้ลูกค้าประทับใจ จึงลดราคาให้ 30% โดยไม่แจ้งใคร</t>
  </si>
  <si>
    <t xml:space="preserve">หัวหน้าไม่อยู่ จึงอนุมัติงบโปรเจกต์ใหม่หลักล้านแทนหัวหน้า</t>
  </si>
  <si>
    <t xml:space="preserve">ลูกค้าบ่นเล็กน้อย จึงส่งของแถมไปหลายลังโดยไม่บันทึก</t>
  </si>
  <si>
    <t xml:space="preserve">การตัดสินใจของแม็กซ์มี 3 อย่างครบ คือความเดือดร้อนจริงและเร่งด่วน ต้นทุนที่สมเหตุผลเมื่อเทียบกัน และความโปร่งใส ตัวเลือกอื่นขาดอย่างน้อยหนึ่งข้อ</t>
  </si>
  <si>
    <t xml:space="preserve">C1-050</t>
  </si>
  <si>
    <t xml:space="preserve">ข้อใดอธิบาย Caring ในบทนี้ "ผิด"</t>
  </si>
  <si>
    <t xml:space="preserve">Caring คือการมองความเดือดร้อนของคน ไม่หยุดคิดแค่ตัวเลข</t>
  </si>
  <si>
    <t xml:space="preserve">Caring รวมถึงเพื่อนร่วมงานที่ต้องทำงานต่อจากเรา</t>
  </si>
  <si>
    <t xml:space="preserve">Caring บางครั้งต้องแลกกับตัวเลขที่ไม่สวยในระยะสั้น</t>
  </si>
  <si>
    <t xml:space="preserve">Caring คือการยอมทำทุกอย่างที่ลูกค้าขอ ไม่ว่าต้นทุนจะเท่าไหร่</t>
  </si>
  <si>
    <t xml:space="preserve">แม็กซ์ไม่ได้ทำตามที่ลูกค้าขอโดยไม่คิด เขาชั่งแล้วว่า margin ลังเดียวเทียบไม่ได้กับวันเปิดร้าน Caring คือการชั่งกับความเดือดร้อนจริง ไม่ใช่การไม่สนต้นทุน</t>
  </si>
  <si>
    <t xml:space="preserve">C1-051</t>
  </si>
  <si>
    <t xml:space="preserve">ถ้าแม็กซ์สั่งส่งของด่วนแล้วกลับบ้านเลย ตามมุมมองของพี่ดารา อะไรจะขาดไป</t>
  </si>
  <si>
    <t xml:space="preserve">เขาจะ Caring แค่กับลูกค้า แต่ลืมคนที่ต้องลำบากต่อจากการตัดสินใจของตัวเอง ซึ่งเป็นอีกครึ่งหนึ่งของ Caring</t>
  </si>
  <si>
    <t xml:space="preserve">ไม่มีอะไรขาด เพราะลูกค้าได้ของทันเวลา</t>
  </si>
  <si>
    <t xml:space="preserve">เขาจะผิดกฎบริษัทเรื่องเวลาทำงาน</t>
  </si>
  <si>
    <t xml:space="preserve">ค่าส่งด่วนจะแพงกว่าเดิม</t>
  </si>
  <si>
    <t xml:space="preserve">พี่ดาราบอกว่า "แต่พี่ชอบอีกเรื่องมากกว่า" คือการที่แม็กซ์ลงไปช่วยพี่กบ เพราะ Caring ไม่ได้มีแค่กับลูกค้า</t>
  </si>
  <si>
    <t xml:space="preserve">C1-052</t>
  </si>
  <si>
    <t xml:space="preserve">ข้อใดคือ "จุดเปลี่ยน" ของความคิดแม็กซ์ในเรื่องนี้</t>
  </si>
  <si>
    <t xml:space="preserve">เปลี่ยนจากเชื่อบอม มาเชื่อคุณเจแทน</t>
  </si>
  <si>
    <t xml:space="preserve">เปลี่ยนจากถามว่า "เรื่องนี้ใครผิด" มาเป็น "ใครกำลังเดือดร้อน"</t>
  </si>
  <si>
    <t xml:space="preserve">เปลี่ยนจากทำตามระบบ มาทำตามใจตัวเอง</t>
  </si>
  <si>
    <t xml:space="preserve">เปลี่ยนจากห่วงยอดขาย มาห่วงชื่อเสียงของตัวเอง</t>
  </si>
  <si>
    <t xml:space="preserve">ตอนแรกเรื่องจบที่ว่าเป็นความผิดของขนส่ง แม็กซ์หันมามองคนที่เดือดร้อนแทน และบอกว่า "เรื่องขนส่งทำหาย ผมตามเคลียร์เองทีหลังได้"</t>
  </si>
  <si>
    <t xml:space="preserve">C1-053</t>
  </si>
  <si>
    <t xml:space="preserve">เพื่อนร่วมงานยกเรื่องแม็กซ์มาพูดว่า "ต่อไปนี้ใครทำอะไรก็ไม่ต้องขออนุมัติแล้ว เพราะ Caring" ข้อไหนตอบได้ตรงกับบทนี้ที่สุด</t>
  </si>
  <si>
    <t xml:space="preserve">ไม่ใช่ แม็กซ์ตัดสินใจเองในสถานการณ์ที่รอไม่ได้ ชั่งแล้วว่าคุ้ม และยอมรับตรงๆ ว่าเป็นคนตัดสิน ไม่ได้แปลว่าข้ามการอนุมัติได้ทุกเรื่อง</t>
  </si>
  <si>
    <t xml:space="preserve">ใช่ เพราะพี่วินชมแม็กซ์ต่อหน้า</t>
  </si>
  <si>
    <t xml:space="preserve">ใช่ ถ้าเป็นเรื่องของลูกค้า</t>
  </si>
  <si>
    <t xml:space="preserve">ไม่ใช่ เพราะสุดท้ายแม็กซ์โดนตักเตือนเรื่องนี้</t>
  </si>
  <si>
    <t xml:space="preserve">แม็กซ์ไม่ได้โดนตักเตือน แต่บทนี้ก็ไม่ได้บอกว่าให้ข้ามการอนุมัติทุกเรื่อง สิ่งที่ถูกชื่นชมคือการตัดสินใจที่ตรง value ในจังหวะที่รอไม่ได้ พร้อมความโปร่งใส</t>
  </si>
  <si>
    <t xml:space="preserve">C1-054</t>
  </si>
  <si>
    <t xml:space="preserve">บอมเตือนเรื่อง margin และตัวเลขสิ้นเดือน ข้อไหนมองบทบาทของบอมในเรื่องนี้ได้ตรงที่สุด</t>
  </si>
  <si>
    <t xml:space="preserve">บอมเป็นคนที่ไม่สนใจลูกค้า</t>
  </si>
  <si>
    <t xml:space="preserve">บอมผิดทั้งหมด เพราะตัวเลขไม่สำคัญ</t>
  </si>
  <si>
    <t xml:space="preserve">บอมควรถูกตักเตือนที่แนะนำแบบนั้น</t>
  </si>
  <si>
    <t xml:space="preserve">บอมพูดถูกในสิ่งที่เห็น เพียงแต่มองด้านตัวเลขด้านเดียว และเมื่อได้ฟังมุมของคน บอมก็เห็นด้วย</t>
  </si>
  <si>
    <t xml:space="preserve">เรื่องเขียนไว้ว่า "บอมพูดไม่ผิดสักคำ" และบอมตอบว่า "ถ้าคิดแบบนั้นก็จริง" บทนี้ไม่ได้ต่อต้านคนที่ดูตัวเลข แต่ชวนให้เห็นอีกมุมหนึ่ง</t>
  </si>
  <si>
    <t xml:space="preserve">C1-055</t>
  </si>
  <si>
    <t xml:space="preserve">ลูกค้า A ขอของด่วน ซึ่งต้องดึงสต็อกที่จองไว้ให้ลูกค้า B ที่จะมารับพรุ่งนี้ ถ้าถามว่า "ถ้าเราทำแบบนี้ ใครจะเดือดร้อนบ้าง" ข้อไหนคิดได้ครบที่สุด</t>
  </si>
  <si>
    <t xml:space="preserve">ช่วย A ทันที เพราะเป็นคนที่ขอเข้ามาก่อน</t>
  </si>
  <si>
    <t xml:space="preserve">ช่วย A ได้ แต่ต้องแน่ใจว่า B ยังได้ของทันด้วย ไม่งั้นเราแค่ย้ายความเดือดร้อนจากคนหนึ่งไปอีกคน</t>
  </si>
  <si>
    <t xml:space="preserve">ไม่ช่วย A เพราะของเป็นของ B</t>
  </si>
  <si>
    <t xml:space="preserve">ช่วย A ไปก่อน แล้วค่อยแจ้ง B ว่าของไม่พอ</t>
  </si>
  <si>
    <t xml:space="preserve">ในเรื่อง แม็กซ์เช็คสต็อกก่อนว่ามีครบทั้ง 6 รสและเหลือพอ แล้วค่อยสั่งส่ง คำถาม "ใครจะเดือดร้อน" ต้องมองทุกคนที่ได้รับผลกระทบ ไม่ใช่แค่คนที่อยู่ตรงหน้า</t>
  </si>
  <si>
    <t xml:space="preserve">C1-056</t>
  </si>
  <si>
    <t xml:space="preserve">ข้อใดคือสิ่งที่พี่ดาราบอกว่า "ชอบมากกว่า" ในเรื่องนี้</t>
  </si>
  <si>
    <t xml:space="preserve">การที่แม็กซ์ตัดสินใจส่งของใหม่โดยไม่รออนุมัติ</t>
  </si>
  <si>
    <t xml:space="preserve">การที่แม็กซ์ลงไปช่วยพี่กบ เพราะห่วงคนที่ต้องทำงานต่อจากการตัดสินใจของตัวเอง</t>
  </si>
  <si>
    <t xml:space="preserve">การที่แม็กซ์ทำให้บริษัทประหยัดค่าขนส่ง</t>
  </si>
  <si>
    <t xml:space="preserve">การที่แม็กซ์ได้รับคำชมจากคุณเจ</t>
  </si>
  <si>
    <t xml:space="preserve">พี่ดาราชมการตัดสินใจเรื่องลูกค้าก่อน แล้วบอกว่า "แต่พี่ชอบอีกเรื่องมากกว่า" คือการที่แม็กซ์ห่วงพี่กบ เป็นการย้ำว่า Caring ต่อเพื่อนสำคัญไม่แพ้ต่อลูกค้า</t>
  </si>
  <si>
    <t xml:space="preserve">C1-057</t>
  </si>
  <si>
    <t xml:space="preserve">แม็กซ์บอกคุณเจว่า "เรื่องขนส่งผมเคลียร์เองครับ พี่ไม่ต้องเสียเวลาไปแจ้งเอง" ประโยคนี้สะท้อน Caring อย่างไร</t>
  </si>
  <si>
    <t xml:space="preserve">แสดงว่าบริษัทมีระบบเคลมที่ดี</t>
  </si>
  <si>
    <t xml:space="preserve">เพื่อกันไม่ให้ลูกค้าไปร้องเรียนกับขนส่ง</t>
  </si>
  <si>
    <t xml:space="preserve">ไม่ได้แก้แค่ปัญหาหลัก แต่ยังดึงภาระที่ไม่ใช่เรื่องของลูกค้าออกไป ให้เขาโฟกัสกับวันเปิดร้านได้</t>
  </si>
  <si>
    <t xml:space="preserve">เพื่อให้แม็กซ์ได้เครดิตกับหัวหน้า</t>
  </si>
  <si>
    <t xml:space="preserve">คุณเจเคยบอกว่าขนส่งให้เขาไปแจ้งเรื่องเอง แม็กซ์รับภาระนั้นมาแทน นี่คือการเดือดร้อนแทนลูกค้าที่ลงลึกกว่าการส่งของใหม่ให้</t>
  </si>
  <si>
    <t xml:space="preserve">C1-058</t>
  </si>
  <si>
    <t xml:space="preserve">ท่าทีของแม็กซ์ที่บอกว่า "ผมเป็นคนกดเองครับ ผมพร้อมรับผิดชอบ" สำคัญอย่างไรต่อเรื่องนี้</t>
  </si>
  <si>
    <t xml:space="preserve">เพื่อให้พี่วินเห็นใจ แล้วไม่หักเงินเดือน</t>
  </si>
  <si>
    <t xml:space="preserve">แสดงว่าแม็กซ์ไม่มั่นใจในการตัดสินใจของตัวเอง</t>
  </si>
  <si>
    <t xml:space="preserve">ไม่สำคัญ เพราะผลลัพธ์ออกมาดีอยู่แล้ว</t>
  </si>
  <si>
    <t xml:space="preserve">แสดงว่าการตัดสินใจเองต้องมาพร้อมความโปร่งใสและพร้อมรับผิดชอบ ไม่ใช่ทำไปแล้วหวังว่าจะไม่มีใครเห็น</t>
  </si>
  <si>
    <t xml:space="preserve">แม็กซ์ไม่ได้ซ่อนรายการค่าส่ง และพูดตรงๆ ตั้งแต่ถูกถาม ความโปร่งใสนี้คือเหตุผลหนึ่งที่พี่วินกล้าบอกว่าอยากให้ทุกคนตัดสินใจแบบนี้</t>
  </si>
  <si>
    <t xml:space="preserve">C1-059</t>
  </si>
  <si>
    <t xml:space="preserve">บริษัทมีเป้าลดของเสีย คุณเห็นว่าถ้าเข้มงวดเรื่องรับคืนสินค้าตามกฎทุกตัวอักษร ร้านค้าเล็กที่เจอของเสียจริงจะต้องแบกภาระเอง ตามแนวคิดในบทนี้ควรทำอย่างไร</t>
  </si>
  <si>
    <t xml:space="preserve">ทำตามกฎทุกตัวอักษร เพราะเป้าของบริษัทสำคัญกว่า</t>
  </si>
  <si>
    <t xml:space="preserve">ยกเลิกเป้าลดของเสีย เพราะไม่ Caring</t>
  </si>
  <si>
    <t xml:space="preserve">รับคืนทุกอย่างโดยไม่ต้องตรวจสอบ</t>
  </si>
  <si>
    <t xml:space="preserve">ยังเดินตามเป้าได้ แต่เสนอทางที่ไม่ผลักความเดือดร้อนจริงไปให้ลูกค้า เช่นแยกกรณีของเสียจริงออกมาดูแล</t>
  </si>
  <si>
    <t xml:space="preserve">Caring ไม่ได้แปลว่าทิ้งตัวเลข และตัวเลขก็ไม่ได้แปลว่าต้องทิ้งคน บทนี้ชวนให้มองคนที่เดือดร้อนจริงก่อน แล้วหาทางที่ดูแลทั้งสองด้าน</t>
  </si>
  <si>
    <t xml:space="preserve">C1-060</t>
  </si>
  <si>
    <t xml:space="preserve">ถ้าเราตัดสินใจโดยถามแค่ว่า "ถูกตามระบบหรือยัง" แต่ไม่ถามว่า "ใครจะเดือดร้อน" ความเสี่ยงคืออะไร</t>
  </si>
  <si>
    <t xml:space="preserve">เราอาจปิดงานได้ครบทุกขั้นตอน แต่ปล่อยให้คนที่อยู่ปลายทางลำบากโดยที่เราไม่รู้ตัว</t>
  </si>
  <si>
    <t xml:space="preserve">งานจะช้าลง เพราะต้องตรวจสอบเยอะขึ้น</t>
  </si>
  <si>
    <t xml:space="preserve">เราจะโดนฝ่ายบัญชีตรวจสอบย้อนหลัง</t>
  </si>
  <si>
    <t xml:space="preserve">ระบบจะแจ้งเตือนผิดพลาดบ่อยขึ้น</t>
  </si>
  <si>
    <t xml:space="preserve">นี่คือสิ่งที่เกือบเกิดกับแม็กซ์ ระบบขึ้นว่าส่งถึงแล้ว ทุกขั้นตอนถูกหมด แต่คุณเจกำลังจะเปิดร้านโดยไม่มีของขาย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</si>
</sst>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5482A"/>
      <name val="Tahoma"/>
      <family val="0"/>
      <charset val="1"/>
    </font>
    <font>
      <sz val="10"/>
      <color rgb="FF4A5542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1B2116"/>
      <name val="Tahoma"/>
      <family val="0"/>
      <charset val="1"/>
    </font>
    <font>
      <b val="true"/>
      <sz val="10"/>
      <color rgb="FF1B2116"/>
      <name val="Tahoma"/>
      <family val="0"/>
      <charset val="1"/>
    </font>
    <font>
      <b val="true"/>
      <sz val="10"/>
      <color rgb="FF35482A"/>
      <name val="Tahoma"/>
      <family val="0"/>
      <charset val="1"/>
    </font>
    <font>
      <sz val="10"/>
      <name val="Tahoma"/>
      <family val="0"/>
      <charset val="1"/>
    </font>
    <font>
      <b val="true"/>
      <sz val="11"/>
      <color rgb="FF35482A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5482A"/>
        <bgColor rgb="FF4A5542"/>
      </patternFill>
    </fill>
    <fill>
      <patternFill patternType="solid">
        <fgColor rgb="FFE8F0DC"/>
        <bgColor rgb="FFEDEFE4"/>
      </patternFill>
    </fill>
    <fill>
      <patternFill patternType="solid">
        <fgColor rgb="FFF6EBCB"/>
        <bgColor rgb="FFEDEFE4"/>
      </patternFill>
    </fill>
    <fill>
      <patternFill patternType="solid">
        <fgColor rgb="FFF3D9D2"/>
        <bgColor rgb="FFF6EBCB"/>
      </patternFill>
    </fill>
    <fill>
      <patternFill patternType="solid">
        <fgColor rgb="FFEDEFE4"/>
        <bgColor rgb="FFE8F0DC"/>
      </patternFill>
    </fill>
    <fill>
      <patternFill patternType="solid">
        <fgColor rgb="FFE3EDD5"/>
        <bgColor rgb="FFE8F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DD3C0"/>
      </left>
      <right style="thin">
        <color rgb="FFCDD3C0"/>
      </right>
      <top style="thin">
        <color rgb="FFCDD3C0"/>
      </top>
      <bottom style="thin">
        <color rgb="FFCDD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548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DC"/>
          <bgColor rgb="FF000000"/>
        </patternFill>
      </fill>
    </dxf>
    <dxf>
      <fill>
        <patternFill patternType="solid">
          <fgColor rgb="FFF3D9D2"/>
          <bgColor rgb="FF000000"/>
        </patternFill>
      </fill>
    </dxf>
    <dxf>
      <fill>
        <patternFill patternType="solid">
          <fgColor rgb="FFF6EBCB"/>
          <bgColor rgb="FF000000"/>
        </patternFill>
      </fill>
    </dxf>
    <dxf>
      <fill>
        <patternFill patternType="solid">
          <fgColor rgb="FFE3EDD5"/>
          <bgColor rgb="FF000000"/>
        </patternFill>
      </fill>
    </dxf>
    <dxf>
      <fill>
        <patternFill>
          <bgColor rgb="FFCFE3B6"/>
        </patternFill>
      </fill>
    </dxf>
    <dxf>
      <fill>
        <patternFill>
          <bgColor rgb="FFF6E3A6"/>
        </patternFill>
      </fill>
    </dxf>
    <dxf>
      <fill>
        <patternFill>
          <bgColor rgb="FFE9B8A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D3C0"/>
      <rgbColor rgb="FF808080"/>
      <rgbColor rgb="FF9999FF"/>
      <rgbColor rgb="FF993366"/>
      <rgbColor rgb="FFF6EBCB"/>
      <rgbColor rgb="FFE8F0DC"/>
      <rgbColor rgb="FF660066"/>
      <rgbColor rgb="FFFF8080"/>
      <rgbColor rgb="FF0066CC"/>
      <rgbColor rgb="FFF3D9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E4"/>
      <rgbColor rgb="FFE3EDD5"/>
      <rgbColor rgb="FFCFE3B6"/>
      <rgbColor rgb="FF99CCFF"/>
      <rgbColor rgb="FFE9B8AC"/>
      <rgbColor rgb="FFCC99FF"/>
      <rgbColor rgb="FFF6E3A6"/>
      <rgbColor rgb="FF3366FF"/>
      <rgbColor rgb="FF33CCCC"/>
      <rgbColor rgb="FF99CC00"/>
      <rgbColor rgb="FFFFCC00"/>
      <rgbColor rgb="FFFF9900"/>
      <rgbColor rgb="FFFF6600"/>
      <rgbColor rgb="FF4A5542"/>
      <rgbColor rgb="FF969696"/>
      <rgbColor rgb="FF003366"/>
      <rgbColor rgb="FF339966"/>
      <rgbColor rgb="FF003300"/>
      <rgbColor rgb="FF1B2116"/>
      <rgbColor rgb="FF993300"/>
      <rgbColor rgb="FF993366"/>
      <rgbColor rgb="FF333399"/>
      <rgbColor rgb="FF3548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0"/>
    <col collapsed="false" customWidth="true" hidden="false" outlineLevel="0" max="7" min="7" style="0" width="14"/>
  </cols>
  <sheetData>
    <row r="1" customFormat="false" ht="50.7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COUNTIFS(คลังคำถาม!$C:$C,$A5)</f>
        <v>24</v>
      </c>
      <c r="C5" s="5" t="n">
        <f aca="false">COUNTIFS(คลังคำถาม!$C:$C,$A5,คลังคำถาม!$L:$L,"ผ่าน")</f>
        <v>0</v>
      </c>
      <c r="D5" s="5" t="n">
        <f aca="false">COUNTIFS(คลังคำถาม!$C:$C,$A5,คลังคำถาม!$L:$L,"รอตรวจ")</f>
        <v>24</v>
      </c>
      <c r="E5" s="5" t="n">
        <f aca="false">COUNTIFS(คลังคำถาม!$C:$C,$A5,คลังคำถาม!$L:$L,"ต้องแก้")</f>
        <v>0</v>
      </c>
      <c r="F5" s="5" t="n">
        <f aca="false">COUNTIFS(คลังคำถาม!$C:$C,$A5,คลังคำถาม!$L:$L,"ตัดทิ้ง")</f>
        <v>0</v>
      </c>
      <c r="G5" s="5" t="n">
        <v>2</v>
      </c>
    </row>
    <row r="6" customFormat="false" ht="15" hidden="false" customHeight="false" outlineLevel="0" collapsed="false">
      <c r="A6" s="6" t="s">
        <v>10</v>
      </c>
      <c r="B6" s="5" t="n">
        <f aca="false">COUNTIFS(คลังคำถาม!$C:$C,$A6)</f>
        <v>24</v>
      </c>
      <c r="C6" s="5" t="n">
        <f aca="false">COUNTIFS(คลังคำถาม!$C:$C,$A6,คลังคำถาม!$L:$L,"ผ่าน")</f>
        <v>0</v>
      </c>
      <c r="D6" s="5" t="n">
        <f aca="false">COUNTIFS(คลังคำถาม!$C:$C,$A6,คลังคำถาม!$L:$L,"รอตรวจ")</f>
        <v>24</v>
      </c>
      <c r="E6" s="5" t="n">
        <f aca="false">COUNTIFS(คลังคำถาม!$C:$C,$A6,คลังคำถาม!$L:$L,"ต้องแก้")</f>
        <v>0</v>
      </c>
      <c r="F6" s="5" t="n">
        <f aca="false">COUNTIFS(คลังคำถาม!$C:$C,$A6,คลังคำถาม!$L:$L,"ตัดทิ้ง")</f>
        <v>0</v>
      </c>
      <c r="G6" s="5" t="n">
        <v>2</v>
      </c>
    </row>
    <row r="7" customFormat="false" ht="15" hidden="false" customHeight="false" outlineLevel="0" collapsed="false">
      <c r="A7" s="7" t="s">
        <v>11</v>
      </c>
      <c r="B7" s="5" t="n">
        <f aca="false">COUNTIFS(คลังคำถาม!$C:$C,$A7)</f>
        <v>12</v>
      </c>
      <c r="C7" s="5" t="n">
        <f aca="false">COUNTIFS(คลังคำถาม!$C:$C,$A7,คลังคำถาม!$L:$L,"ผ่าน")</f>
        <v>0</v>
      </c>
      <c r="D7" s="5" t="n">
        <f aca="false">COUNTIFS(คลังคำถาม!$C:$C,$A7,คลังคำถาม!$L:$L,"รอตรวจ")</f>
        <v>12</v>
      </c>
      <c r="E7" s="5" t="n">
        <f aca="false">COUNTIFS(คลังคำถาม!$C:$C,$A7,คลังคำถาม!$L:$L,"ต้องแก้")</f>
        <v>0</v>
      </c>
      <c r="F7" s="5" t="n">
        <f aca="false">COUNTIFS(คลังคำถาม!$C:$C,$A7,คลังคำถาม!$L:$L,"ตัดทิ้ง")</f>
        <v>0</v>
      </c>
      <c r="G7" s="5" t="n">
        <v>1</v>
      </c>
    </row>
    <row r="8" customFormat="false" ht="15" hidden="false" customHeight="false" outlineLevel="0" collapsed="false">
      <c r="A8" s="8" t="s">
        <v>12</v>
      </c>
      <c r="B8" s="9" t="n">
        <f aca="false">SUM(B5:B7)</f>
        <v>60</v>
      </c>
      <c r="C8" s="9" t="n">
        <f aca="false">SUM(C5:C7)</f>
        <v>0</v>
      </c>
      <c r="D8" s="9" t="n">
        <f aca="false">SUM(D5:D7)</f>
        <v>60</v>
      </c>
      <c r="E8" s="9" t="n">
        <f aca="false">SUM(E5:E7)</f>
        <v>0</v>
      </c>
      <c r="F8" s="9" t="n">
        <f aca="false">SUM(F5:F7)</f>
        <v>0</v>
      </c>
      <c r="G8" s="9" t="n">
        <f aca="false">SUM(G5:G7)</f>
        <v>5</v>
      </c>
    </row>
    <row r="10" customFormat="false" ht="15" hidden="false" customHeight="false" outlineLevel="0" collapsed="false">
      <c r="A10" s="3" t="s">
        <v>13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4</v>
      </c>
    </row>
    <row r="11" customFormat="false" ht="15" hidden="false" customHeight="false" outlineLevel="0" collapsed="false">
      <c r="A11" s="10" t="s">
        <v>14</v>
      </c>
      <c r="B11" s="5" t="n">
        <f aca="false">COUNTIFS(คลังคำถาม!$D:$D,$A11,คลังคำถาม!$C:$C,"ง่าย")</f>
        <v>7</v>
      </c>
      <c r="C11" s="5" t="n">
        <f aca="false">COUNTIFS(คลังคำถาม!$D:$D,$A11,คลังคำถาม!$C:$C,"กลาง")</f>
        <v>7</v>
      </c>
      <c r="D11" s="5" t="n">
        <f aca="false">COUNTIFS(คลังคำถาม!$D:$D,$A11,คลังคำถาม!$C:$C,"ยาก")</f>
        <v>2</v>
      </c>
      <c r="E11" s="9" t="n">
        <f aca="false">SUM(B11:D11)</f>
        <v>16</v>
      </c>
      <c r="F11" s="5" t="n">
        <f aca="false">COUNTIFS(คลังคำถาม!$D:$D,$A11,คลังคำถาม!$L:$L,"ผ่าน")</f>
        <v>0</v>
      </c>
    </row>
    <row r="12" customFormat="false" ht="15" hidden="false" customHeight="false" outlineLevel="0" collapsed="false">
      <c r="A12" s="10" t="s">
        <v>15</v>
      </c>
      <c r="B12" s="5" t="n">
        <f aca="false">COUNTIFS(คลังคำถาม!$D:$D,$A12,คลังคำถาม!$C:$C,"ง่าย")</f>
        <v>5</v>
      </c>
      <c r="C12" s="5" t="n">
        <f aca="false">COUNTIFS(คลังคำถาม!$D:$D,$A12,คลังคำถาม!$C:$C,"กลาง")</f>
        <v>4</v>
      </c>
      <c r="D12" s="5" t="n">
        <f aca="false">COUNTIFS(คลังคำถาม!$D:$D,$A12,คลังคำถาม!$C:$C,"ยาก")</f>
        <v>3</v>
      </c>
      <c r="E12" s="9" t="n">
        <f aca="false">SUM(B12:D12)</f>
        <v>12</v>
      </c>
      <c r="F12" s="5" t="n">
        <f aca="false">COUNTIFS(คลังคำถาม!$D:$D,$A12,คลังคำถาม!$L:$L,"ผ่าน")</f>
        <v>0</v>
      </c>
    </row>
    <row r="13" customFormat="false" ht="15" hidden="false" customHeight="false" outlineLevel="0" collapsed="false">
      <c r="A13" s="10" t="s">
        <v>16</v>
      </c>
      <c r="B13" s="5" t="n">
        <f aca="false">COUNTIFS(คลังคำถาม!$D:$D,$A13,คลังคำถาม!$C:$C,"ง่าย")</f>
        <v>5</v>
      </c>
      <c r="C13" s="5" t="n">
        <f aca="false">COUNTIFS(คลังคำถาม!$D:$D,$A13,คลังคำถาม!$C:$C,"กลาง")</f>
        <v>5</v>
      </c>
      <c r="D13" s="5" t="n">
        <f aca="false">COUNTIFS(คลังคำถาม!$D:$D,$A13,คลังคำถาม!$C:$C,"ยาก")</f>
        <v>2</v>
      </c>
      <c r="E13" s="9" t="n">
        <f aca="false">SUM(B13:D13)</f>
        <v>12</v>
      </c>
      <c r="F13" s="5" t="n">
        <f aca="false">COUNTIFS(คลังคำถาม!$D:$D,$A13,คลังคำถาม!$L:$L,"ผ่าน")</f>
        <v>0</v>
      </c>
    </row>
    <row r="14" customFormat="false" ht="15" hidden="false" customHeight="false" outlineLevel="0" collapsed="false">
      <c r="A14" s="10" t="s">
        <v>17</v>
      </c>
      <c r="B14" s="5" t="n">
        <f aca="false">COUNTIFS(คลังคำถาม!$D:$D,$A14,คลังคำถาม!$C:$C,"ง่าย")</f>
        <v>3</v>
      </c>
      <c r="C14" s="5" t="n">
        <f aca="false">COUNTIFS(คลังคำถาม!$D:$D,$A14,คลังคำถาม!$C:$C,"กลาง")</f>
        <v>3</v>
      </c>
      <c r="D14" s="5" t="n">
        <f aca="false">COUNTIFS(คลังคำถาม!$D:$D,$A14,คลังคำถาม!$C:$C,"ยาก")</f>
        <v>3</v>
      </c>
      <c r="E14" s="9" t="n">
        <f aca="false">SUM(B14:D14)</f>
        <v>9</v>
      </c>
      <c r="F14" s="5" t="n">
        <f aca="false">COUNTIFS(คลังคำถาม!$D:$D,$A14,คลังคำถาม!$L:$L,"ผ่าน")</f>
        <v>0</v>
      </c>
    </row>
    <row r="15" customFormat="false" ht="15" hidden="false" customHeight="false" outlineLevel="0" collapsed="false">
      <c r="A15" s="10" t="s">
        <v>18</v>
      </c>
      <c r="B15" s="5" t="n">
        <f aca="false">COUNTIFS(คลังคำถาม!$D:$D,$A15,คลังคำถาม!$C:$C,"ง่าย")</f>
        <v>4</v>
      </c>
      <c r="C15" s="5" t="n">
        <f aca="false">COUNTIFS(คลังคำถาม!$D:$D,$A15,คลังคำถาม!$C:$C,"กลาง")</f>
        <v>5</v>
      </c>
      <c r="D15" s="5" t="n">
        <f aca="false">COUNTIFS(คลังคำถาม!$D:$D,$A15,คลังคำถาม!$C:$C,"ยาก")</f>
        <v>2</v>
      </c>
      <c r="E15" s="9" t="n">
        <f aca="false">SUM(B15:D15)</f>
        <v>11</v>
      </c>
      <c r="F15" s="5" t="n">
        <f aca="false">COUNTIFS(คลังคำถาม!$D:$D,$A15,คลังคำถาม!$L:$L,"ผ่าน")</f>
        <v>0</v>
      </c>
    </row>
    <row r="16" customFormat="false" ht="15" hidden="false" customHeight="false" outlineLevel="0" collapsed="false">
      <c r="A16" s="8" t="s">
        <v>12</v>
      </c>
      <c r="B16" s="9" t="n">
        <f aca="false">SUM(B11:B15)</f>
        <v>24</v>
      </c>
      <c r="C16" s="9" t="n">
        <f aca="false">SUM(C11:C15)</f>
        <v>24</v>
      </c>
      <c r="D16" s="9" t="n">
        <f aca="false">SUM(D11:D15)</f>
        <v>12</v>
      </c>
      <c r="E16" s="9" t="n">
        <f aca="false">SUM(E11:E15)</f>
        <v>60</v>
      </c>
      <c r="F16" s="9" t="n">
        <f aca="false">SUM(F11:F15)</f>
        <v>0</v>
      </c>
    </row>
    <row r="18" customFormat="false" ht="15" hidden="false" customHeight="false" outlineLevel="0" collapsed="false">
      <c r="A18" s="11" t="s">
        <v>19</v>
      </c>
      <c r="B18" s="12" t="s">
        <v>20</v>
      </c>
      <c r="C18" s="12" t="s">
        <v>21</v>
      </c>
      <c r="D18" s="12" t="s">
        <v>22</v>
      </c>
      <c r="E18" s="12" t="s">
        <v>23</v>
      </c>
    </row>
    <row r="19" customFormat="false" ht="15" hidden="false" customHeight="false" outlineLevel="0" collapsed="false">
      <c r="A19" s="10" t="s">
        <v>24</v>
      </c>
      <c r="B19" s="5" t="n">
        <f aca="false">COUNTIFS(คลังคำถาม!$J:$J,"ก")</f>
        <v>15</v>
      </c>
      <c r="C19" s="5" t="n">
        <f aca="false">COUNTIFS(คลังคำถาม!$J:$J,"ข")</f>
        <v>15</v>
      </c>
      <c r="D19" s="5" t="n">
        <f aca="false">COUNTIFS(คลังคำถาม!$J:$J,"ค")</f>
        <v>15</v>
      </c>
      <c r="E19" s="5" t="n">
        <f aca="false">COUNTIFS(คลังคำถาม!$J:$J,"ง")</f>
        <v>15</v>
      </c>
    </row>
    <row r="21" customFormat="false" ht="15" hidden="false" customHeight="true" outlineLevel="0" collapsed="false">
      <c r="A21" s="13" t="s">
        <v>25</v>
      </c>
      <c r="B21" s="13"/>
      <c r="C21" s="13"/>
      <c r="D21" s="13"/>
      <c r="E21" s="13"/>
      <c r="F21" s="13"/>
      <c r="G21" s="13"/>
    </row>
    <row r="22" customFormat="false" ht="15" hidden="false" customHeight="true" outlineLevel="0" collapsed="false">
      <c r="A22" s="14" t="s">
        <v>26</v>
      </c>
      <c r="B22" s="14"/>
      <c r="C22" s="14"/>
      <c r="D22" s="14"/>
      <c r="E22" s="14"/>
      <c r="F22" s="14"/>
      <c r="G22" s="14"/>
    </row>
    <row r="23" customFormat="false" ht="15" hidden="false" customHeight="true" outlineLevel="0" collapsed="false">
      <c r="A23" s="14" t="s">
        <v>27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14" t="s">
        <v>28</v>
      </c>
      <c r="B24" s="14"/>
      <c r="C24" s="14"/>
      <c r="D24" s="14"/>
      <c r="E24" s="14"/>
      <c r="F24" s="14"/>
      <c r="G24" s="14"/>
    </row>
    <row r="25" customFormat="false" ht="15" hidden="false" customHeight="true" outlineLevel="0" collapsed="false">
      <c r="A25" s="14" t="s">
        <v>29</v>
      </c>
      <c r="B25" s="14"/>
      <c r="C25" s="14"/>
      <c r="D25" s="14"/>
      <c r="E25" s="14"/>
      <c r="F25" s="14"/>
      <c r="G25" s="14"/>
    </row>
    <row r="26" customFormat="false" ht="15" hidden="false" customHeight="true" outlineLevel="0" collapsed="false">
      <c r="A26" s="14" t="s">
        <v>30</v>
      </c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true" outlineLevel="0" collapsed="false">
      <c r="A28" s="14" t="s">
        <v>31</v>
      </c>
      <c r="B28" s="14"/>
      <c r="C28" s="14"/>
      <c r="D28" s="14"/>
      <c r="E28" s="14"/>
      <c r="F28" s="14"/>
      <c r="G28" s="14"/>
    </row>
    <row r="29" customFormat="false" ht="15" hidden="false" customHeight="true" outlineLevel="0" collapsed="false">
      <c r="A29" s="14" t="s">
        <v>32</v>
      </c>
      <c r="B29" s="14"/>
      <c r="C29" s="14"/>
      <c r="D29" s="14"/>
      <c r="E29" s="14"/>
      <c r="F29" s="14"/>
      <c r="G29" s="14"/>
    </row>
  </sheetData>
  <mergeCells count="9"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46"/>
    <col collapsed="false" customWidth="true" hidden="false" outlineLevel="0" max="9" min="6" style="0" width="30"/>
    <col collapsed="false" customWidth="true" hidden="false" outlineLevel="0" max="10" min="10" style="0" width="7"/>
    <col collapsed="false" customWidth="true" hidden="false" outlineLevel="0" max="11" min="11" style="0" width="48"/>
    <col collapsed="false" customWidth="true" hidden="false" outlineLevel="0" max="12" min="12" style="0" width="11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5" t="s">
        <v>33</v>
      </c>
      <c r="B1" s="15" t="s">
        <v>34</v>
      </c>
      <c r="C1" s="15" t="s">
        <v>2</v>
      </c>
      <c r="D1" s="15" t="s">
        <v>13</v>
      </c>
      <c r="E1" s="15" t="s">
        <v>35</v>
      </c>
      <c r="F1" s="15" t="s">
        <v>20</v>
      </c>
      <c r="G1" s="15" t="s">
        <v>21</v>
      </c>
      <c r="H1" s="15" t="s">
        <v>22</v>
      </c>
      <c r="I1" s="15" t="s">
        <v>23</v>
      </c>
      <c r="J1" s="15" t="s">
        <v>36</v>
      </c>
      <c r="K1" s="15" t="s">
        <v>37</v>
      </c>
      <c r="L1" s="15" t="s">
        <v>38</v>
      </c>
      <c r="M1" s="15" t="s">
        <v>39</v>
      </c>
    </row>
    <row r="2" customFormat="false" ht="23.85" hidden="false" customHeight="false" outlineLevel="0" collapsed="false">
      <c r="A2" s="16" t="s">
        <v>40</v>
      </c>
      <c r="B2" s="16" t="n">
        <v>1</v>
      </c>
      <c r="C2" s="17" t="s">
        <v>9</v>
      </c>
      <c r="D2" s="18" t="s">
        <v>14</v>
      </c>
      <c r="E2" s="18" t="s">
        <v>41</v>
      </c>
      <c r="F2" s="18" t="s">
        <v>42</v>
      </c>
      <c r="G2" s="18" t="s">
        <v>43</v>
      </c>
      <c r="H2" s="18" t="s">
        <v>44</v>
      </c>
      <c r="I2" s="18" t="s">
        <v>45</v>
      </c>
      <c r="J2" s="19" t="s">
        <v>21</v>
      </c>
      <c r="K2" s="18" t="s">
        <v>46</v>
      </c>
      <c r="L2" s="16" t="s">
        <v>5</v>
      </c>
      <c r="M2" s="18"/>
    </row>
    <row r="3" customFormat="false" ht="20.85" hidden="false" customHeight="false" outlineLevel="0" collapsed="false">
      <c r="A3" s="16" t="s">
        <v>47</v>
      </c>
      <c r="B3" s="16" t="n">
        <v>1</v>
      </c>
      <c r="C3" s="17" t="s">
        <v>9</v>
      </c>
      <c r="D3" s="18" t="s">
        <v>15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9" t="s">
        <v>23</v>
      </c>
      <c r="K3" s="18" t="s">
        <v>53</v>
      </c>
      <c r="L3" s="16" t="s">
        <v>5</v>
      </c>
      <c r="M3" s="18"/>
    </row>
    <row r="4" customFormat="false" ht="22.35" hidden="false" customHeight="false" outlineLevel="0" collapsed="false">
      <c r="A4" s="16" t="s">
        <v>54</v>
      </c>
      <c r="B4" s="16" t="n">
        <v>1</v>
      </c>
      <c r="C4" s="17" t="s">
        <v>9</v>
      </c>
      <c r="D4" s="18" t="s">
        <v>14</v>
      </c>
      <c r="E4" s="18" t="s">
        <v>55</v>
      </c>
      <c r="F4" s="18" t="s">
        <v>56</v>
      </c>
      <c r="G4" s="18" t="s">
        <v>57</v>
      </c>
      <c r="H4" s="18" t="s">
        <v>58</v>
      </c>
      <c r="I4" s="18" t="s">
        <v>59</v>
      </c>
      <c r="J4" s="19" t="s">
        <v>20</v>
      </c>
      <c r="K4" s="18" t="s">
        <v>60</v>
      </c>
      <c r="L4" s="16" t="s">
        <v>5</v>
      </c>
      <c r="M4" s="18"/>
    </row>
    <row r="5" customFormat="false" ht="22.35" hidden="false" customHeight="false" outlineLevel="0" collapsed="false">
      <c r="A5" s="16" t="s">
        <v>61</v>
      </c>
      <c r="B5" s="16" t="n">
        <v>1</v>
      </c>
      <c r="C5" s="17" t="s">
        <v>9</v>
      </c>
      <c r="D5" s="18" t="s">
        <v>14</v>
      </c>
      <c r="E5" s="18" t="s">
        <v>62</v>
      </c>
      <c r="F5" s="18" t="s">
        <v>63</v>
      </c>
      <c r="G5" s="18" t="s">
        <v>64</v>
      </c>
      <c r="H5" s="18" t="s">
        <v>65</v>
      </c>
      <c r="I5" s="18" t="s">
        <v>66</v>
      </c>
      <c r="J5" s="19" t="s">
        <v>20</v>
      </c>
      <c r="K5" s="18" t="s">
        <v>67</v>
      </c>
      <c r="L5" s="16" t="s">
        <v>5</v>
      </c>
      <c r="M5" s="18"/>
    </row>
    <row r="6" customFormat="false" ht="20.85" hidden="false" customHeight="false" outlineLevel="0" collapsed="false">
      <c r="A6" s="16" t="s">
        <v>68</v>
      </c>
      <c r="B6" s="16" t="n">
        <v>1</v>
      </c>
      <c r="C6" s="17" t="s">
        <v>9</v>
      </c>
      <c r="D6" s="18" t="s">
        <v>16</v>
      </c>
      <c r="E6" s="18" t="s">
        <v>69</v>
      </c>
      <c r="F6" s="18" t="s">
        <v>70</v>
      </c>
      <c r="G6" s="18" t="s">
        <v>71</v>
      </c>
      <c r="H6" s="18" t="s">
        <v>72</v>
      </c>
      <c r="I6" s="18" t="s">
        <v>73</v>
      </c>
      <c r="J6" s="19" t="s">
        <v>20</v>
      </c>
      <c r="K6" s="18" t="s">
        <v>74</v>
      </c>
      <c r="L6" s="16" t="s">
        <v>5</v>
      </c>
      <c r="M6" s="18"/>
    </row>
    <row r="7" customFormat="false" ht="23.85" hidden="false" customHeight="false" outlineLevel="0" collapsed="false">
      <c r="A7" s="16" t="s">
        <v>75</v>
      </c>
      <c r="B7" s="16" t="n">
        <v>1</v>
      </c>
      <c r="C7" s="17" t="s">
        <v>9</v>
      </c>
      <c r="D7" s="18" t="s">
        <v>16</v>
      </c>
      <c r="E7" s="18" t="s">
        <v>76</v>
      </c>
      <c r="F7" s="18" t="s">
        <v>77</v>
      </c>
      <c r="G7" s="18" t="s">
        <v>78</v>
      </c>
      <c r="H7" s="18" t="s">
        <v>79</v>
      </c>
      <c r="I7" s="18" t="s">
        <v>80</v>
      </c>
      <c r="J7" s="19" t="s">
        <v>23</v>
      </c>
      <c r="K7" s="18" t="s">
        <v>81</v>
      </c>
      <c r="L7" s="16" t="s">
        <v>5</v>
      </c>
      <c r="M7" s="18"/>
    </row>
    <row r="8" customFormat="false" ht="20.85" hidden="false" customHeight="false" outlineLevel="0" collapsed="false">
      <c r="A8" s="16" t="s">
        <v>82</v>
      </c>
      <c r="B8" s="16" t="n">
        <v>1</v>
      </c>
      <c r="C8" s="17" t="s">
        <v>9</v>
      </c>
      <c r="D8" s="18" t="s">
        <v>18</v>
      </c>
      <c r="E8" s="18" t="s">
        <v>83</v>
      </c>
      <c r="F8" s="18" t="s">
        <v>84</v>
      </c>
      <c r="G8" s="18" t="s">
        <v>85</v>
      </c>
      <c r="H8" s="18" t="s">
        <v>86</v>
      </c>
      <c r="I8" s="18" t="s">
        <v>87</v>
      </c>
      <c r="J8" s="19" t="s">
        <v>21</v>
      </c>
      <c r="K8" s="18" t="s">
        <v>88</v>
      </c>
      <c r="L8" s="16" t="s">
        <v>5</v>
      </c>
      <c r="M8" s="18"/>
    </row>
    <row r="9" customFormat="false" ht="35.05" hidden="false" customHeight="false" outlineLevel="0" collapsed="false">
      <c r="A9" s="16" t="s">
        <v>89</v>
      </c>
      <c r="B9" s="16" t="n">
        <v>1</v>
      </c>
      <c r="C9" s="17" t="s">
        <v>9</v>
      </c>
      <c r="D9" s="18" t="s">
        <v>14</v>
      </c>
      <c r="E9" s="18" t="s">
        <v>90</v>
      </c>
      <c r="F9" s="18" t="s">
        <v>91</v>
      </c>
      <c r="G9" s="18" t="s">
        <v>92</v>
      </c>
      <c r="H9" s="18" t="s">
        <v>93</v>
      </c>
      <c r="I9" s="18" t="s">
        <v>94</v>
      </c>
      <c r="J9" s="19" t="s">
        <v>22</v>
      </c>
      <c r="K9" s="18" t="s">
        <v>95</v>
      </c>
      <c r="L9" s="16" t="s">
        <v>5</v>
      </c>
      <c r="M9" s="18"/>
    </row>
    <row r="10" customFormat="false" ht="22.35" hidden="false" customHeight="false" outlineLevel="0" collapsed="false">
      <c r="A10" s="16" t="s">
        <v>96</v>
      </c>
      <c r="B10" s="16" t="n">
        <v>1</v>
      </c>
      <c r="C10" s="17" t="s">
        <v>9</v>
      </c>
      <c r="D10" s="18" t="s">
        <v>16</v>
      </c>
      <c r="E10" s="18" t="s">
        <v>97</v>
      </c>
      <c r="F10" s="18" t="s">
        <v>98</v>
      </c>
      <c r="G10" s="18" t="s">
        <v>99</v>
      </c>
      <c r="H10" s="18" t="s">
        <v>100</v>
      </c>
      <c r="I10" s="18" t="s">
        <v>101</v>
      </c>
      <c r="J10" s="19" t="s">
        <v>22</v>
      </c>
      <c r="K10" s="18" t="s">
        <v>102</v>
      </c>
      <c r="L10" s="16" t="s">
        <v>5</v>
      </c>
      <c r="M10" s="18"/>
    </row>
    <row r="11" customFormat="false" ht="23.85" hidden="false" customHeight="false" outlineLevel="0" collapsed="false">
      <c r="A11" s="16" t="s">
        <v>103</v>
      </c>
      <c r="B11" s="16" t="n">
        <v>1</v>
      </c>
      <c r="C11" s="17" t="s">
        <v>9</v>
      </c>
      <c r="D11" s="18" t="s">
        <v>15</v>
      </c>
      <c r="E11" s="18" t="s">
        <v>104</v>
      </c>
      <c r="F11" s="18" t="s">
        <v>105</v>
      </c>
      <c r="G11" s="18" t="s">
        <v>106</v>
      </c>
      <c r="H11" s="18" t="s">
        <v>107</v>
      </c>
      <c r="I11" s="18" t="s">
        <v>108</v>
      </c>
      <c r="J11" s="19" t="s">
        <v>20</v>
      </c>
      <c r="K11" s="18" t="s">
        <v>109</v>
      </c>
      <c r="L11" s="16" t="s">
        <v>5</v>
      </c>
      <c r="M11" s="18"/>
    </row>
    <row r="12" customFormat="false" ht="23.85" hidden="false" customHeight="false" outlineLevel="0" collapsed="false">
      <c r="A12" s="16" t="s">
        <v>110</v>
      </c>
      <c r="B12" s="16" t="n">
        <v>1</v>
      </c>
      <c r="C12" s="17" t="s">
        <v>9</v>
      </c>
      <c r="D12" s="18" t="s">
        <v>17</v>
      </c>
      <c r="E12" s="18" t="s">
        <v>111</v>
      </c>
      <c r="F12" s="18" t="s">
        <v>112</v>
      </c>
      <c r="G12" s="18" t="s">
        <v>113</v>
      </c>
      <c r="H12" s="18" t="s">
        <v>114</v>
      </c>
      <c r="I12" s="18" t="s">
        <v>115</v>
      </c>
      <c r="J12" s="19" t="s">
        <v>21</v>
      </c>
      <c r="K12" s="18" t="s">
        <v>116</v>
      </c>
      <c r="L12" s="16" t="s">
        <v>5</v>
      </c>
      <c r="M12" s="18"/>
    </row>
    <row r="13" customFormat="false" ht="20.85" hidden="false" customHeight="false" outlineLevel="0" collapsed="false">
      <c r="A13" s="16" t="s">
        <v>117</v>
      </c>
      <c r="B13" s="16" t="n">
        <v>1</v>
      </c>
      <c r="C13" s="17" t="s">
        <v>9</v>
      </c>
      <c r="D13" s="18" t="s">
        <v>17</v>
      </c>
      <c r="E13" s="18" t="s">
        <v>118</v>
      </c>
      <c r="F13" s="18" t="s">
        <v>119</v>
      </c>
      <c r="G13" s="18" t="s">
        <v>120</v>
      </c>
      <c r="H13" s="18" t="s">
        <v>121</v>
      </c>
      <c r="I13" s="18" t="s">
        <v>122</v>
      </c>
      <c r="J13" s="19" t="s">
        <v>21</v>
      </c>
      <c r="K13" s="18" t="s">
        <v>123</v>
      </c>
      <c r="L13" s="16" t="s">
        <v>5</v>
      </c>
      <c r="M13" s="18"/>
    </row>
    <row r="14" customFormat="false" ht="23.85" hidden="false" customHeight="false" outlineLevel="0" collapsed="false">
      <c r="A14" s="16" t="s">
        <v>124</v>
      </c>
      <c r="B14" s="16" t="n">
        <v>1</v>
      </c>
      <c r="C14" s="17" t="s">
        <v>9</v>
      </c>
      <c r="D14" s="18" t="s">
        <v>15</v>
      </c>
      <c r="E14" s="18" t="s">
        <v>125</v>
      </c>
      <c r="F14" s="18" t="s">
        <v>126</v>
      </c>
      <c r="G14" s="18" t="s">
        <v>127</v>
      </c>
      <c r="H14" s="18" t="s">
        <v>128</v>
      </c>
      <c r="I14" s="18" t="s">
        <v>129</v>
      </c>
      <c r="J14" s="19" t="s">
        <v>23</v>
      </c>
      <c r="K14" s="18" t="s">
        <v>130</v>
      </c>
      <c r="L14" s="16" t="s">
        <v>5</v>
      </c>
      <c r="M14" s="18"/>
    </row>
    <row r="15" customFormat="false" ht="20.85" hidden="false" customHeight="false" outlineLevel="0" collapsed="false">
      <c r="A15" s="16" t="s">
        <v>131</v>
      </c>
      <c r="B15" s="16" t="n">
        <v>1</v>
      </c>
      <c r="C15" s="17" t="s">
        <v>9</v>
      </c>
      <c r="D15" s="18" t="s">
        <v>14</v>
      </c>
      <c r="E15" s="18" t="s">
        <v>132</v>
      </c>
      <c r="F15" s="18" t="s">
        <v>133</v>
      </c>
      <c r="G15" s="18" t="s">
        <v>134</v>
      </c>
      <c r="H15" s="18" t="s">
        <v>135</v>
      </c>
      <c r="I15" s="18" t="s">
        <v>136</v>
      </c>
      <c r="J15" s="19" t="s">
        <v>22</v>
      </c>
      <c r="K15" s="18" t="s">
        <v>137</v>
      </c>
      <c r="L15" s="16" t="s">
        <v>5</v>
      </c>
      <c r="M15" s="18"/>
    </row>
    <row r="16" customFormat="false" ht="32.05" hidden="false" customHeight="false" outlineLevel="0" collapsed="false">
      <c r="A16" s="16" t="s">
        <v>138</v>
      </c>
      <c r="B16" s="16" t="n">
        <v>1</v>
      </c>
      <c r="C16" s="17" t="s">
        <v>9</v>
      </c>
      <c r="D16" s="18" t="s">
        <v>18</v>
      </c>
      <c r="E16" s="18" t="s">
        <v>139</v>
      </c>
      <c r="F16" s="18" t="s">
        <v>140</v>
      </c>
      <c r="G16" s="18" t="s">
        <v>141</v>
      </c>
      <c r="H16" s="18" t="s">
        <v>142</v>
      </c>
      <c r="I16" s="18" t="s">
        <v>143</v>
      </c>
      <c r="J16" s="19" t="s">
        <v>20</v>
      </c>
      <c r="K16" s="18" t="s">
        <v>144</v>
      </c>
      <c r="L16" s="16" t="s">
        <v>5</v>
      </c>
      <c r="M16" s="18"/>
    </row>
    <row r="17" customFormat="false" ht="22.35" hidden="false" customHeight="false" outlineLevel="0" collapsed="false">
      <c r="A17" s="16" t="s">
        <v>145</v>
      </c>
      <c r="B17" s="16" t="n">
        <v>1</v>
      </c>
      <c r="C17" s="17" t="s">
        <v>9</v>
      </c>
      <c r="D17" s="18" t="s">
        <v>16</v>
      </c>
      <c r="E17" s="18" t="s">
        <v>146</v>
      </c>
      <c r="F17" s="18" t="s">
        <v>147</v>
      </c>
      <c r="G17" s="18" t="s">
        <v>148</v>
      </c>
      <c r="H17" s="18" t="s">
        <v>149</v>
      </c>
      <c r="I17" s="18" t="s">
        <v>150</v>
      </c>
      <c r="J17" s="19" t="s">
        <v>23</v>
      </c>
      <c r="K17" s="18" t="s">
        <v>151</v>
      </c>
      <c r="L17" s="16" t="s">
        <v>5</v>
      </c>
      <c r="M17" s="18"/>
    </row>
    <row r="18" customFormat="false" ht="22.35" hidden="false" customHeight="false" outlineLevel="0" collapsed="false">
      <c r="A18" s="16" t="s">
        <v>152</v>
      </c>
      <c r="B18" s="16" t="n">
        <v>1</v>
      </c>
      <c r="C18" s="17" t="s">
        <v>9</v>
      </c>
      <c r="D18" s="18" t="s">
        <v>14</v>
      </c>
      <c r="E18" s="18" t="s">
        <v>153</v>
      </c>
      <c r="F18" s="18" t="s">
        <v>154</v>
      </c>
      <c r="G18" s="18" t="s">
        <v>155</v>
      </c>
      <c r="H18" s="18" t="s">
        <v>156</v>
      </c>
      <c r="I18" s="18" t="s">
        <v>157</v>
      </c>
      <c r="J18" s="19" t="s">
        <v>22</v>
      </c>
      <c r="K18" s="18" t="s">
        <v>158</v>
      </c>
      <c r="L18" s="16" t="s">
        <v>5</v>
      </c>
      <c r="M18" s="18"/>
    </row>
    <row r="19" customFormat="false" ht="22.35" hidden="false" customHeight="false" outlineLevel="0" collapsed="false">
      <c r="A19" s="16" t="s">
        <v>159</v>
      </c>
      <c r="B19" s="16" t="n">
        <v>1</v>
      </c>
      <c r="C19" s="17" t="s">
        <v>9</v>
      </c>
      <c r="D19" s="18" t="s">
        <v>18</v>
      </c>
      <c r="E19" s="18" t="s">
        <v>160</v>
      </c>
      <c r="F19" s="18" t="s">
        <v>161</v>
      </c>
      <c r="G19" s="18" t="s">
        <v>162</v>
      </c>
      <c r="H19" s="18" t="s">
        <v>163</v>
      </c>
      <c r="I19" s="18" t="s">
        <v>164</v>
      </c>
      <c r="J19" s="19" t="s">
        <v>23</v>
      </c>
      <c r="K19" s="18" t="s">
        <v>165</v>
      </c>
      <c r="L19" s="16" t="s">
        <v>5</v>
      </c>
      <c r="M19" s="18"/>
    </row>
    <row r="20" customFormat="false" ht="22.35" hidden="false" customHeight="false" outlineLevel="0" collapsed="false">
      <c r="A20" s="16" t="s">
        <v>166</v>
      </c>
      <c r="B20" s="16" t="n">
        <v>1</v>
      </c>
      <c r="C20" s="17" t="s">
        <v>9</v>
      </c>
      <c r="D20" s="18" t="s">
        <v>15</v>
      </c>
      <c r="E20" s="18" t="s">
        <v>167</v>
      </c>
      <c r="F20" s="18" t="s">
        <v>168</v>
      </c>
      <c r="G20" s="18" t="s">
        <v>169</v>
      </c>
      <c r="H20" s="18" t="s">
        <v>170</v>
      </c>
      <c r="I20" s="18" t="s">
        <v>171</v>
      </c>
      <c r="J20" s="19" t="s">
        <v>20</v>
      </c>
      <c r="K20" s="18" t="s">
        <v>172</v>
      </c>
      <c r="L20" s="16" t="s">
        <v>5</v>
      </c>
      <c r="M20" s="18"/>
    </row>
    <row r="21" customFormat="false" ht="20.85" hidden="false" customHeight="false" outlineLevel="0" collapsed="false">
      <c r="A21" s="16" t="s">
        <v>173</v>
      </c>
      <c r="B21" s="16" t="n">
        <v>1</v>
      </c>
      <c r="C21" s="17" t="s">
        <v>9</v>
      </c>
      <c r="D21" s="18" t="s">
        <v>17</v>
      </c>
      <c r="E21" s="18" t="s">
        <v>174</v>
      </c>
      <c r="F21" s="18" t="s">
        <v>175</v>
      </c>
      <c r="G21" s="18" t="s">
        <v>176</v>
      </c>
      <c r="H21" s="18" t="s">
        <v>177</v>
      </c>
      <c r="I21" s="18" t="s">
        <v>178</v>
      </c>
      <c r="J21" s="19" t="s">
        <v>20</v>
      </c>
      <c r="K21" s="18" t="s">
        <v>179</v>
      </c>
      <c r="L21" s="16" t="s">
        <v>5</v>
      </c>
      <c r="M21" s="18"/>
    </row>
    <row r="22" customFormat="false" ht="32.05" hidden="false" customHeight="false" outlineLevel="0" collapsed="false">
      <c r="A22" s="16" t="s">
        <v>180</v>
      </c>
      <c r="B22" s="16" t="n">
        <v>1</v>
      </c>
      <c r="C22" s="17" t="s">
        <v>9</v>
      </c>
      <c r="D22" s="18" t="s">
        <v>16</v>
      </c>
      <c r="E22" s="18" t="s">
        <v>181</v>
      </c>
      <c r="F22" s="18" t="s">
        <v>182</v>
      </c>
      <c r="G22" s="18" t="s">
        <v>183</v>
      </c>
      <c r="H22" s="18" t="s">
        <v>184</v>
      </c>
      <c r="I22" s="18" t="s">
        <v>185</v>
      </c>
      <c r="J22" s="19" t="s">
        <v>22</v>
      </c>
      <c r="K22" s="18" t="s">
        <v>186</v>
      </c>
      <c r="L22" s="16" t="s">
        <v>5</v>
      </c>
      <c r="M22" s="18"/>
    </row>
    <row r="23" customFormat="false" ht="22.35" hidden="false" customHeight="false" outlineLevel="0" collapsed="false">
      <c r="A23" s="16" t="s">
        <v>187</v>
      </c>
      <c r="B23" s="16" t="n">
        <v>1</v>
      </c>
      <c r="C23" s="17" t="s">
        <v>9</v>
      </c>
      <c r="D23" s="18" t="s">
        <v>14</v>
      </c>
      <c r="E23" s="18" t="s">
        <v>188</v>
      </c>
      <c r="F23" s="18" t="s">
        <v>189</v>
      </c>
      <c r="G23" s="18" t="s">
        <v>190</v>
      </c>
      <c r="H23" s="18" t="s">
        <v>191</v>
      </c>
      <c r="I23" s="18" t="s">
        <v>192</v>
      </c>
      <c r="J23" s="19" t="s">
        <v>23</v>
      </c>
      <c r="K23" s="18" t="s">
        <v>193</v>
      </c>
      <c r="L23" s="16" t="s">
        <v>5</v>
      </c>
      <c r="M23" s="18"/>
    </row>
    <row r="24" customFormat="false" ht="22.35" hidden="false" customHeight="false" outlineLevel="0" collapsed="false">
      <c r="A24" s="16" t="s">
        <v>194</v>
      </c>
      <c r="B24" s="16" t="n">
        <v>1</v>
      </c>
      <c r="C24" s="17" t="s">
        <v>9</v>
      </c>
      <c r="D24" s="18" t="s">
        <v>18</v>
      </c>
      <c r="E24" s="18" t="s">
        <v>195</v>
      </c>
      <c r="F24" s="18" t="s">
        <v>196</v>
      </c>
      <c r="G24" s="18" t="s">
        <v>197</v>
      </c>
      <c r="H24" s="18" t="s">
        <v>198</v>
      </c>
      <c r="I24" s="18" t="s">
        <v>199</v>
      </c>
      <c r="J24" s="19" t="s">
        <v>22</v>
      </c>
      <c r="K24" s="18" t="s">
        <v>200</v>
      </c>
      <c r="L24" s="16" t="s">
        <v>5</v>
      </c>
      <c r="M24" s="18"/>
    </row>
    <row r="25" customFormat="false" ht="22.35" hidden="false" customHeight="false" outlineLevel="0" collapsed="false">
      <c r="A25" s="16" t="s">
        <v>201</v>
      </c>
      <c r="B25" s="16" t="n">
        <v>1</v>
      </c>
      <c r="C25" s="17" t="s">
        <v>9</v>
      </c>
      <c r="D25" s="18" t="s">
        <v>15</v>
      </c>
      <c r="E25" s="18" t="s">
        <v>202</v>
      </c>
      <c r="F25" s="18" t="s">
        <v>203</v>
      </c>
      <c r="G25" s="18" t="s">
        <v>204</v>
      </c>
      <c r="H25" s="18" t="s">
        <v>205</v>
      </c>
      <c r="I25" s="18" t="s">
        <v>206</v>
      </c>
      <c r="J25" s="19" t="s">
        <v>22</v>
      </c>
      <c r="K25" s="18" t="s">
        <v>207</v>
      </c>
      <c r="L25" s="16" t="s">
        <v>5</v>
      </c>
      <c r="M25" s="18"/>
    </row>
    <row r="26" customFormat="false" ht="23.85" hidden="false" customHeight="false" outlineLevel="0" collapsed="false">
      <c r="A26" s="16" t="s">
        <v>208</v>
      </c>
      <c r="B26" s="16" t="n">
        <v>1</v>
      </c>
      <c r="C26" s="20" t="s">
        <v>10</v>
      </c>
      <c r="D26" s="18" t="s">
        <v>14</v>
      </c>
      <c r="E26" s="18" t="s">
        <v>209</v>
      </c>
      <c r="F26" s="18" t="s">
        <v>210</v>
      </c>
      <c r="G26" s="18" t="s">
        <v>211</v>
      </c>
      <c r="H26" s="18" t="s">
        <v>212</v>
      </c>
      <c r="I26" s="18" t="s">
        <v>213</v>
      </c>
      <c r="J26" s="19" t="s">
        <v>20</v>
      </c>
      <c r="K26" s="18" t="s">
        <v>214</v>
      </c>
      <c r="L26" s="16" t="s">
        <v>5</v>
      </c>
      <c r="M26" s="18"/>
    </row>
    <row r="27" customFormat="false" ht="33.55" hidden="false" customHeight="false" outlineLevel="0" collapsed="false">
      <c r="A27" s="16" t="s">
        <v>215</v>
      </c>
      <c r="B27" s="16" t="n">
        <v>1</v>
      </c>
      <c r="C27" s="20" t="s">
        <v>10</v>
      </c>
      <c r="D27" s="18" t="s">
        <v>16</v>
      </c>
      <c r="E27" s="18" t="s">
        <v>216</v>
      </c>
      <c r="F27" s="18" t="s">
        <v>217</v>
      </c>
      <c r="G27" s="18" t="s">
        <v>218</v>
      </c>
      <c r="H27" s="18" t="s">
        <v>219</v>
      </c>
      <c r="I27" s="18" t="s">
        <v>220</v>
      </c>
      <c r="J27" s="19" t="s">
        <v>21</v>
      </c>
      <c r="K27" s="18" t="s">
        <v>221</v>
      </c>
      <c r="L27" s="16" t="s">
        <v>5</v>
      </c>
      <c r="M27" s="18"/>
    </row>
    <row r="28" customFormat="false" ht="32.05" hidden="false" customHeight="false" outlineLevel="0" collapsed="false">
      <c r="A28" s="16" t="s">
        <v>222</v>
      </c>
      <c r="B28" s="16" t="n">
        <v>1</v>
      </c>
      <c r="C28" s="20" t="s">
        <v>10</v>
      </c>
      <c r="D28" s="18" t="s">
        <v>15</v>
      </c>
      <c r="E28" s="18" t="s">
        <v>223</v>
      </c>
      <c r="F28" s="18" t="s">
        <v>224</v>
      </c>
      <c r="G28" s="18" t="s">
        <v>225</v>
      </c>
      <c r="H28" s="18" t="s">
        <v>226</v>
      </c>
      <c r="I28" s="18" t="s">
        <v>227</v>
      </c>
      <c r="J28" s="19" t="s">
        <v>21</v>
      </c>
      <c r="K28" s="18" t="s">
        <v>228</v>
      </c>
      <c r="L28" s="16" t="s">
        <v>5</v>
      </c>
      <c r="M28" s="18"/>
    </row>
    <row r="29" customFormat="false" ht="22.35" hidden="false" customHeight="false" outlineLevel="0" collapsed="false">
      <c r="A29" s="16" t="s">
        <v>229</v>
      </c>
      <c r="B29" s="16" t="n">
        <v>1</v>
      </c>
      <c r="C29" s="20" t="s">
        <v>10</v>
      </c>
      <c r="D29" s="18" t="s">
        <v>18</v>
      </c>
      <c r="E29" s="18" t="s">
        <v>230</v>
      </c>
      <c r="F29" s="18" t="s">
        <v>231</v>
      </c>
      <c r="G29" s="18" t="s">
        <v>232</v>
      </c>
      <c r="H29" s="18" t="s">
        <v>233</v>
      </c>
      <c r="I29" s="18" t="s">
        <v>234</v>
      </c>
      <c r="J29" s="19" t="s">
        <v>23</v>
      </c>
      <c r="K29" s="18" t="s">
        <v>235</v>
      </c>
      <c r="L29" s="16" t="s">
        <v>5</v>
      </c>
      <c r="M29" s="18"/>
    </row>
    <row r="30" customFormat="false" ht="30.55" hidden="false" customHeight="false" outlineLevel="0" collapsed="false">
      <c r="A30" s="16" t="s">
        <v>236</v>
      </c>
      <c r="B30" s="16" t="n">
        <v>1</v>
      </c>
      <c r="C30" s="20" t="s">
        <v>10</v>
      </c>
      <c r="D30" s="18" t="s">
        <v>14</v>
      </c>
      <c r="E30" s="18" t="s">
        <v>237</v>
      </c>
      <c r="F30" s="18" t="s">
        <v>238</v>
      </c>
      <c r="G30" s="18" t="s">
        <v>239</v>
      </c>
      <c r="H30" s="18" t="s">
        <v>240</v>
      </c>
      <c r="I30" s="18" t="s">
        <v>241</v>
      </c>
      <c r="J30" s="19" t="s">
        <v>21</v>
      </c>
      <c r="K30" s="18" t="s">
        <v>242</v>
      </c>
      <c r="L30" s="16" t="s">
        <v>5</v>
      </c>
      <c r="M30" s="18"/>
    </row>
    <row r="31" customFormat="false" ht="22.35" hidden="false" customHeight="false" outlineLevel="0" collapsed="false">
      <c r="A31" s="16" t="s">
        <v>243</v>
      </c>
      <c r="B31" s="16" t="n">
        <v>1</v>
      </c>
      <c r="C31" s="20" t="s">
        <v>10</v>
      </c>
      <c r="D31" s="18" t="s">
        <v>16</v>
      </c>
      <c r="E31" s="18" t="s">
        <v>244</v>
      </c>
      <c r="F31" s="18" t="s">
        <v>245</v>
      </c>
      <c r="G31" s="18" t="s">
        <v>246</v>
      </c>
      <c r="H31" s="18" t="s">
        <v>247</v>
      </c>
      <c r="I31" s="18" t="s">
        <v>248</v>
      </c>
      <c r="J31" s="19" t="s">
        <v>23</v>
      </c>
      <c r="K31" s="18" t="s">
        <v>249</v>
      </c>
      <c r="L31" s="16" t="s">
        <v>5</v>
      </c>
      <c r="M31" s="18"/>
    </row>
    <row r="32" customFormat="false" ht="30.55" hidden="false" customHeight="false" outlineLevel="0" collapsed="false">
      <c r="A32" s="16" t="s">
        <v>250</v>
      </c>
      <c r="B32" s="16" t="n">
        <v>1</v>
      </c>
      <c r="C32" s="20" t="s">
        <v>10</v>
      </c>
      <c r="D32" s="18" t="s">
        <v>14</v>
      </c>
      <c r="E32" s="18" t="s">
        <v>251</v>
      </c>
      <c r="F32" s="18" t="s">
        <v>252</v>
      </c>
      <c r="G32" s="18" t="s">
        <v>253</v>
      </c>
      <c r="H32" s="18" t="s">
        <v>254</v>
      </c>
      <c r="I32" s="18" t="s">
        <v>255</v>
      </c>
      <c r="J32" s="19" t="s">
        <v>21</v>
      </c>
      <c r="K32" s="18" t="s">
        <v>256</v>
      </c>
      <c r="L32" s="16" t="s">
        <v>5</v>
      </c>
      <c r="M32" s="18"/>
    </row>
    <row r="33" customFormat="false" ht="33.55" hidden="false" customHeight="false" outlineLevel="0" collapsed="false">
      <c r="A33" s="16" t="s">
        <v>257</v>
      </c>
      <c r="B33" s="16" t="n">
        <v>1</v>
      </c>
      <c r="C33" s="20" t="s">
        <v>10</v>
      </c>
      <c r="D33" s="18" t="s">
        <v>15</v>
      </c>
      <c r="E33" s="18" t="s">
        <v>258</v>
      </c>
      <c r="F33" s="18" t="s">
        <v>259</v>
      </c>
      <c r="G33" s="18" t="s">
        <v>260</v>
      </c>
      <c r="H33" s="18" t="s">
        <v>261</v>
      </c>
      <c r="I33" s="18" t="s">
        <v>262</v>
      </c>
      <c r="J33" s="19" t="s">
        <v>23</v>
      </c>
      <c r="K33" s="18" t="s">
        <v>263</v>
      </c>
      <c r="L33" s="16" t="s">
        <v>5</v>
      </c>
      <c r="M33" s="18"/>
    </row>
    <row r="34" customFormat="false" ht="30.55" hidden="false" customHeight="false" outlineLevel="0" collapsed="false">
      <c r="A34" s="16" t="s">
        <v>264</v>
      </c>
      <c r="B34" s="16" t="n">
        <v>1</v>
      </c>
      <c r="C34" s="20" t="s">
        <v>10</v>
      </c>
      <c r="D34" s="18" t="s">
        <v>16</v>
      </c>
      <c r="E34" s="18" t="s">
        <v>265</v>
      </c>
      <c r="F34" s="18" t="s">
        <v>266</v>
      </c>
      <c r="G34" s="18" t="s">
        <v>267</v>
      </c>
      <c r="H34" s="18" t="s">
        <v>268</v>
      </c>
      <c r="I34" s="18" t="s">
        <v>269</v>
      </c>
      <c r="J34" s="19" t="s">
        <v>20</v>
      </c>
      <c r="K34" s="18" t="s">
        <v>270</v>
      </c>
      <c r="L34" s="16" t="s">
        <v>5</v>
      </c>
      <c r="M34" s="18"/>
    </row>
    <row r="35" customFormat="false" ht="22.35" hidden="false" customHeight="false" outlineLevel="0" collapsed="false">
      <c r="A35" s="16" t="s">
        <v>271</v>
      </c>
      <c r="B35" s="16" t="n">
        <v>1</v>
      </c>
      <c r="C35" s="20" t="s">
        <v>10</v>
      </c>
      <c r="D35" s="18" t="s">
        <v>18</v>
      </c>
      <c r="E35" s="18" t="s">
        <v>272</v>
      </c>
      <c r="F35" s="18" t="s">
        <v>273</v>
      </c>
      <c r="G35" s="18" t="s">
        <v>274</v>
      </c>
      <c r="H35" s="18" t="s">
        <v>275</v>
      </c>
      <c r="I35" s="18" t="s">
        <v>276</v>
      </c>
      <c r="J35" s="19" t="s">
        <v>20</v>
      </c>
      <c r="K35" s="18" t="s">
        <v>277</v>
      </c>
      <c r="L35" s="16" t="s">
        <v>5</v>
      </c>
      <c r="M35" s="18"/>
    </row>
    <row r="36" customFormat="false" ht="30.55" hidden="false" customHeight="false" outlineLevel="0" collapsed="false">
      <c r="A36" s="16" t="s">
        <v>278</v>
      </c>
      <c r="B36" s="16" t="n">
        <v>1</v>
      </c>
      <c r="C36" s="20" t="s">
        <v>10</v>
      </c>
      <c r="D36" s="18" t="s">
        <v>14</v>
      </c>
      <c r="E36" s="18" t="s">
        <v>279</v>
      </c>
      <c r="F36" s="18" t="s">
        <v>280</v>
      </c>
      <c r="G36" s="18" t="s">
        <v>281</v>
      </c>
      <c r="H36" s="18" t="s">
        <v>282</v>
      </c>
      <c r="I36" s="18" t="s">
        <v>283</v>
      </c>
      <c r="J36" s="19" t="s">
        <v>22</v>
      </c>
      <c r="K36" s="18" t="s">
        <v>284</v>
      </c>
      <c r="L36" s="16" t="s">
        <v>5</v>
      </c>
      <c r="M36" s="18"/>
    </row>
    <row r="37" customFormat="false" ht="32.05" hidden="false" customHeight="false" outlineLevel="0" collapsed="false">
      <c r="A37" s="16" t="s">
        <v>285</v>
      </c>
      <c r="B37" s="16" t="n">
        <v>1</v>
      </c>
      <c r="C37" s="20" t="s">
        <v>10</v>
      </c>
      <c r="D37" s="18" t="s">
        <v>17</v>
      </c>
      <c r="E37" s="18" t="s">
        <v>286</v>
      </c>
      <c r="F37" s="18" t="s">
        <v>287</v>
      </c>
      <c r="G37" s="18" t="s">
        <v>288</v>
      </c>
      <c r="H37" s="18" t="s">
        <v>289</v>
      </c>
      <c r="I37" s="18" t="s">
        <v>290</v>
      </c>
      <c r="J37" s="19" t="s">
        <v>22</v>
      </c>
      <c r="K37" s="18" t="s">
        <v>291</v>
      </c>
      <c r="L37" s="16" t="s">
        <v>5</v>
      </c>
      <c r="M37" s="18"/>
    </row>
    <row r="38" customFormat="false" ht="32.05" hidden="false" customHeight="false" outlineLevel="0" collapsed="false">
      <c r="A38" s="16" t="s">
        <v>292</v>
      </c>
      <c r="B38" s="16" t="n">
        <v>1</v>
      </c>
      <c r="C38" s="20" t="s">
        <v>10</v>
      </c>
      <c r="D38" s="18" t="s">
        <v>16</v>
      </c>
      <c r="E38" s="18" t="s">
        <v>293</v>
      </c>
      <c r="F38" s="18" t="s">
        <v>294</v>
      </c>
      <c r="G38" s="18" t="s">
        <v>295</v>
      </c>
      <c r="H38" s="18" t="s">
        <v>296</v>
      </c>
      <c r="I38" s="18" t="s">
        <v>297</v>
      </c>
      <c r="J38" s="19" t="s">
        <v>21</v>
      </c>
      <c r="K38" s="18" t="s">
        <v>298</v>
      </c>
      <c r="L38" s="16" t="s">
        <v>5</v>
      </c>
      <c r="M38" s="18"/>
    </row>
    <row r="39" customFormat="false" ht="32.05" hidden="false" customHeight="false" outlineLevel="0" collapsed="false">
      <c r="A39" s="16" t="s">
        <v>299</v>
      </c>
      <c r="B39" s="16" t="n">
        <v>1</v>
      </c>
      <c r="C39" s="20" t="s">
        <v>10</v>
      </c>
      <c r="D39" s="18" t="s">
        <v>18</v>
      </c>
      <c r="E39" s="18" t="s">
        <v>300</v>
      </c>
      <c r="F39" s="18" t="s">
        <v>301</v>
      </c>
      <c r="G39" s="18" t="s">
        <v>302</v>
      </c>
      <c r="H39" s="18" t="s">
        <v>303</v>
      </c>
      <c r="I39" s="18" t="s">
        <v>304</v>
      </c>
      <c r="J39" s="19" t="s">
        <v>22</v>
      </c>
      <c r="K39" s="18" t="s">
        <v>305</v>
      </c>
      <c r="L39" s="16" t="s">
        <v>5</v>
      </c>
      <c r="M39" s="18"/>
    </row>
    <row r="40" customFormat="false" ht="23.85" hidden="false" customHeight="false" outlineLevel="0" collapsed="false">
      <c r="A40" s="16" t="s">
        <v>306</v>
      </c>
      <c r="B40" s="16" t="n">
        <v>1</v>
      </c>
      <c r="C40" s="20" t="s">
        <v>10</v>
      </c>
      <c r="D40" s="18" t="s">
        <v>14</v>
      </c>
      <c r="E40" s="18" t="s">
        <v>307</v>
      </c>
      <c r="F40" s="18" t="s">
        <v>308</v>
      </c>
      <c r="G40" s="18" t="s">
        <v>309</v>
      </c>
      <c r="H40" s="18" t="s">
        <v>310</v>
      </c>
      <c r="I40" s="18" t="s">
        <v>311</v>
      </c>
      <c r="J40" s="19" t="s">
        <v>22</v>
      </c>
      <c r="K40" s="18" t="s">
        <v>312</v>
      </c>
      <c r="L40" s="16" t="s">
        <v>5</v>
      </c>
      <c r="M40" s="18"/>
    </row>
    <row r="41" customFormat="false" ht="32.05" hidden="false" customHeight="false" outlineLevel="0" collapsed="false">
      <c r="A41" s="16" t="s">
        <v>313</v>
      </c>
      <c r="B41" s="16" t="n">
        <v>1</v>
      </c>
      <c r="C41" s="20" t="s">
        <v>10</v>
      </c>
      <c r="D41" s="18" t="s">
        <v>17</v>
      </c>
      <c r="E41" s="18" t="s">
        <v>314</v>
      </c>
      <c r="F41" s="18" t="s">
        <v>315</v>
      </c>
      <c r="G41" s="18" t="s">
        <v>316</v>
      </c>
      <c r="H41" s="18" t="s">
        <v>317</v>
      </c>
      <c r="I41" s="18" t="s">
        <v>318</v>
      </c>
      <c r="J41" s="19" t="s">
        <v>21</v>
      </c>
      <c r="K41" s="18" t="s">
        <v>319</v>
      </c>
      <c r="L41" s="16" t="s">
        <v>5</v>
      </c>
      <c r="M41" s="18"/>
    </row>
    <row r="42" customFormat="false" ht="32.05" hidden="false" customHeight="false" outlineLevel="0" collapsed="false">
      <c r="A42" s="16" t="s">
        <v>320</v>
      </c>
      <c r="B42" s="16" t="n">
        <v>1</v>
      </c>
      <c r="C42" s="20" t="s">
        <v>10</v>
      </c>
      <c r="D42" s="18" t="s">
        <v>15</v>
      </c>
      <c r="E42" s="18" t="s">
        <v>321</v>
      </c>
      <c r="F42" s="18" t="s">
        <v>322</v>
      </c>
      <c r="G42" s="18" t="s">
        <v>323</v>
      </c>
      <c r="H42" s="18" t="s">
        <v>324</v>
      </c>
      <c r="I42" s="18" t="s">
        <v>325</v>
      </c>
      <c r="J42" s="19" t="s">
        <v>21</v>
      </c>
      <c r="K42" s="18" t="s">
        <v>326</v>
      </c>
      <c r="L42" s="16" t="s">
        <v>5</v>
      </c>
      <c r="M42" s="18"/>
    </row>
    <row r="43" customFormat="false" ht="30.55" hidden="false" customHeight="false" outlineLevel="0" collapsed="false">
      <c r="A43" s="16" t="s">
        <v>327</v>
      </c>
      <c r="B43" s="16" t="n">
        <v>1</v>
      </c>
      <c r="C43" s="20" t="s">
        <v>10</v>
      </c>
      <c r="D43" s="18" t="s">
        <v>14</v>
      </c>
      <c r="E43" s="18" t="s">
        <v>328</v>
      </c>
      <c r="F43" s="18" t="s">
        <v>329</v>
      </c>
      <c r="G43" s="18" t="s">
        <v>330</v>
      </c>
      <c r="H43" s="18" t="s">
        <v>331</v>
      </c>
      <c r="I43" s="18" t="s">
        <v>332</v>
      </c>
      <c r="J43" s="19" t="s">
        <v>23</v>
      </c>
      <c r="K43" s="18" t="s">
        <v>333</v>
      </c>
      <c r="L43" s="16" t="s">
        <v>5</v>
      </c>
      <c r="M43" s="18"/>
    </row>
    <row r="44" customFormat="false" ht="22.35" hidden="false" customHeight="false" outlineLevel="0" collapsed="false">
      <c r="A44" s="16" t="s">
        <v>334</v>
      </c>
      <c r="B44" s="16" t="n">
        <v>1</v>
      </c>
      <c r="C44" s="20" t="s">
        <v>10</v>
      </c>
      <c r="D44" s="18" t="s">
        <v>18</v>
      </c>
      <c r="E44" s="18" t="s">
        <v>335</v>
      </c>
      <c r="F44" s="18" t="s">
        <v>336</v>
      </c>
      <c r="G44" s="18" t="s">
        <v>337</v>
      </c>
      <c r="H44" s="18" t="s">
        <v>338</v>
      </c>
      <c r="I44" s="18" t="s">
        <v>339</v>
      </c>
      <c r="J44" s="19" t="s">
        <v>21</v>
      </c>
      <c r="K44" s="18" t="s">
        <v>340</v>
      </c>
      <c r="L44" s="16" t="s">
        <v>5</v>
      </c>
      <c r="M44" s="18"/>
    </row>
    <row r="45" customFormat="false" ht="22.35" hidden="false" customHeight="false" outlineLevel="0" collapsed="false">
      <c r="A45" s="16" t="s">
        <v>341</v>
      </c>
      <c r="B45" s="16" t="n">
        <v>1</v>
      </c>
      <c r="C45" s="20" t="s">
        <v>10</v>
      </c>
      <c r="D45" s="18" t="s">
        <v>17</v>
      </c>
      <c r="E45" s="18" t="s">
        <v>342</v>
      </c>
      <c r="F45" s="18" t="s">
        <v>343</v>
      </c>
      <c r="G45" s="18" t="s">
        <v>344</v>
      </c>
      <c r="H45" s="18" t="s">
        <v>345</v>
      </c>
      <c r="I45" s="18" t="s">
        <v>346</v>
      </c>
      <c r="J45" s="19" t="s">
        <v>22</v>
      </c>
      <c r="K45" s="18" t="s">
        <v>347</v>
      </c>
      <c r="L45" s="16" t="s">
        <v>5</v>
      </c>
      <c r="M45" s="18"/>
    </row>
    <row r="46" customFormat="false" ht="22.35" hidden="false" customHeight="false" outlineLevel="0" collapsed="false">
      <c r="A46" s="16" t="s">
        <v>348</v>
      </c>
      <c r="B46" s="16" t="n">
        <v>1</v>
      </c>
      <c r="C46" s="20" t="s">
        <v>10</v>
      </c>
      <c r="D46" s="18" t="s">
        <v>16</v>
      </c>
      <c r="E46" s="18" t="s">
        <v>349</v>
      </c>
      <c r="F46" s="18" t="s">
        <v>350</v>
      </c>
      <c r="G46" s="18" t="s">
        <v>351</v>
      </c>
      <c r="H46" s="18" t="s">
        <v>352</v>
      </c>
      <c r="I46" s="18" t="s">
        <v>353</v>
      </c>
      <c r="J46" s="19" t="s">
        <v>22</v>
      </c>
      <c r="K46" s="18" t="s">
        <v>354</v>
      </c>
      <c r="L46" s="16" t="s">
        <v>5</v>
      </c>
      <c r="M46" s="18"/>
    </row>
    <row r="47" customFormat="false" ht="22.35" hidden="false" customHeight="false" outlineLevel="0" collapsed="false">
      <c r="A47" s="16" t="s">
        <v>355</v>
      </c>
      <c r="B47" s="16" t="n">
        <v>1</v>
      </c>
      <c r="C47" s="20" t="s">
        <v>10</v>
      </c>
      <c r="D47" s="18" t="s">
        <v>15</v>
      </c>
      <c r="E47" s="18" t="s">
        <v>356</v>
      </c>
      <c r="F47" s="18" t="s">
        <v>357</v>
      </c>
      <c r="G47" s="18" t="s">
        <v>358</v>
      </c>
      <c r="H47" s="18" t="s">
        <v>359</v>
      </c>
      <c r="I47" s="18" t="s">
        <v>360</v>
      </c>
      <c r="J47" s="19" t="s">
        <v>23</v>
      </c>
      <c r="K47" s="18" t="s">
        <v>361</v>
      </c>
      <c r="L47" s="16" t="s">
        <v>5</v>
      </c>
      <c r="M47" s="18"/>
    </row>
    <row r="48" customFormat="false" ht="22.35" hidden="false" customHeight="false" outlineLevel="0" collapsed="false">
      <c r="A48" s="16" t="s">
        <v>362</v>
      </c>
      <c r="B48" s="16" t="n">
        <v>1</v>
      </c>
      <c r="C48" s="20" t="s">
        <v>10</v>
      </c>
      <c r="D48" s="18" t="s">
        <v>14</v>
      </c>
      <c r="E48" s="18" t="s">
        <v>363</v>
      </c>
      <c r="F48" s="18" t="s">
        <v>364</v>
      </c>
      <c r="G48" s="18" t="s">
        <v>365</v>
      </c>
      <c r="H48" s="18" t="s">
        <v>366</v>
      </c>
      <c r="I48" s="18" t="s">
        <v>367</v>
      </c>
      <c r="J48" s="19" t="s">
        <v>20</v>
      </c>
      <c r="K48" s="18" t="s">
        <v>368</v>
      </c>
      <c r="L48" s="16" t="s">
        <v>5</v>
      </c>
      <c r="M48" s="18"/>
    </row>
    <row r="49" customFormat="false" ht="32.05" hidden="false" customHeight="false" outlineLevel="0" collapsed="false">
      <c r="A49" s="16" t="s">
        <v>369</v>
      </c>
      <c r="B49" s="16" t="n">
        <v>1</v>
      </c>
      <c r="C49" s="20" t="s">
        <v>10</v>
      </c>
      <c r="D49" s="18" t="s">
        <v>18</v>
      </c>
      <c r="E49" s="18" t="s">
        <v>370</v>
      </c>
      <c r="F49" s="18" t="s">
        <v>371</v>
      </c>
      <c r="G49" s="18" t="s">
        <v>372</v>
      </c>
      <c r="H49" s="18" t="s">
        <v>373</v>
      </c>
      <c r="I49" s="18" t="s">
        <v>374</v>
      </c>
      <c r="J49" s="19" t="s">
        <v>22</v>
      </c>
      <c r="K49" s="18" t="s">
        <v>375</v>
      </c>
      <c r="L49" s="16" t="s">
        <v>5</v>
      </c>
      <c r="M49" s="18"/>
    </row>
    <row r="50" customFormat="false" ht="32.05" hidden="false" customHeight="false" outlineLevel="0" collapsed="false">
      <c r="A50" s="16" t="s">
        <v>376</v>
      </c>
      <c r="B50" s="16" t="n">
        <v>1</v>
      </c>
      <c r="C50" s="21" t="s">
        <v>11</v>
      </c>
      <c r="D50" s="18" t="s">
        <v>17</v>
      </c>
      <c r="E50" s="18" t="s">
        <v>377</v>
      </c>
      <c r="F50" s="18" t="s">
        <v>378</v>
      </c>
      <c r="G50" s="18" t="s">
        <v>379</v>
      </c>
      <c r="H50" s="18" t="s">
        <v>380</v>
      </c>
      <c r="I50" s="18" t="s">
        <v>381</v>
      </c>
      <c r="J50" s="19" t="s">
        <v>20</v>
      </c>
      <c r="K50" s="18" t="s">
        <v>382</v>
      </c>
      <c r="L50" s="16" t="s">
        <v>5</v>
      </c>
      <c r="M50" s="18"/>
    </row>
    <row r="51" customFormat="false" ht="33.55" hidden="false" customHeight="false" outlineLevel="0" collapsed="false">
      <c r="A51" s="16" t="s">
        <v>383</v>
      </c>
      <c r="B51" s="16" t="n">
        <v>1</v>
      </c>
      <c r="C51" s="21" t="s">
        <v>11</v>
      </c>
      <c r="D51" s="18" t="s">
        <v>15</v>
      </c>
      <c r="E51" s="18" t="s">
        <v>384</v>
      </c>
      <c r="F51" s="18" t="s">
        <v>385</v>
      </c>
      <c r="G51" s="18" t="s">
        <v>386</v>
      </c>
      <c r="H51" s="18" t="s">
        <v>387</v>
      </c>
      <c r="I51" s="18" t="s">
        <v>388</v>
      </c>
      <c r="J51" s="19" t="s">
        <v>23</v>
      </c>
      <c r="K51" s="18" t="s">
        <v>389</v>
      </c>
      <c r="L51" s="16" t="s">
        <v>5</v>
      </c>
      <c r="M51" s="18"/>
    </row>
    <row r="52" customFormat="false" ht="33.55" hidden="false" customHeight="false" outlineLevel="0" collapsed="false">
      <c r="A52" s="16" t="s">
        <v>390</v>
      </c>
      <c r="B52" s="16" t="n">
        <v>1</v>
      </c>
      <c r="C52" s="21" t="s">
        <v>11</v>
      </c>
      <c r="D52" s="18" t="s">
        <v>16</v>
      </c>
      <c r="E52" s="18" t="s">
        <v>391</v>
      </c>
      <c r="F52" s="18" t="s">
        <v>392</v>
      </c>
      <c r="G52" s="18" t="s">
        <v>393</v>
      </c>
      <c r="H52" s="18" t="s">
        <v>394</v>
      </c>
      <c r="I52" s="18" t="s">
        <v>395</v>
      </c>
      <c r="J52" s="19" t="s">
        <v>20</v>
      </c>
      <c r="K52" s="18" t="s">
        <v>396</v>
      </c>
      <c r="L52" s="16" t="s">
        <v>5</v>
      </c>
      <c r="M52" s="18"/>
    </row>
    <row r="53" customFormat="false" ht="23.85" hidden="false" customHeight="false" outlineLevel="0" collapsed="false">
      <c r="A53" s="16" t="s">
        <v>397</v>
      </c>
      <c r="B53" s="16" t="n">
        <v>1</v>
      </c>
      <c r="C53" s="21" t="s">
        <v>11</v>
      </c>
      <c r="D53" s="18" t="s">
        <v>14</v>
      </c>
      <c r="E53" s="18" t="s">
        <v>398</v>
      </c>
      <c r="F53" s="18" t="s">
        <v>399</v>
      </c>
      <c r="G53" s="18" t="s">
        <v>400</v>
      </c>
      <c r="H53" s="18" t="s">
        <v>401</v>
      </c>
      <c r="I53" s="18" t="s">
        <v>402</v>
      </c>
      <c r="J53" s="19" t="s">
        <v>21</v>
      </c>
      <c r="K53" s="18" t="s">
        <v>403</v>
      </c>
      <c r="L53" s="16" t="s">
        <v>5</v>
      </c>
      <c r="M53" s="18"/>
    </row>
    <row r="54" customFormat="false" ht="40.25" hidden="false" customHeight="false" outlineLevel="0" collapsed="false">
      <c r="A54" s="16" t="s">
        <v>404</v>
      </c>
      <c r="B54" s="16" t="n">
        <v>1</v>
      </c>
      <c r="C54" s="21" t="s">
        <v>11</v>
      </c>
      <c r="D54" s="18" t="s">
        <v>17</v>
      </c>
      <c r="E54" s="18" t="s">
        <v>405</v>
      </c>
      <c r="F54" s="18" t="s">
        <v>406</v>
      </c>
      <c r="G54" s="18" t="s">
        <v>407</v>
      </c>
      <c r="H54" s="18" t="s">
        <v>408</v>
      </c>
      <c r="I54" s="18" t="s">
        <v>409</v>
      </c>
      <c r="J54" s="19" t="s">
        <v>20</v>
      </c>
      <c r="K54" s="18" t="s">
        <v>410</v>
      </c>
      <c r="L54" s="16" t="s">
        <v>5</v>
      </c>
      <c r="M54" s="18"/>
    </row>
    <row r="55" customFormat="false" ht="30.55" hidden="false" customHeight="false" outlineLevel="0" collapsed="false">
      <c r="A55" s="16" t="s">
        <v>411</v>
      </c>
      <c r="B55" s="16" t="n">
        <v>1</v>
      </c>
      <c r="C55" s="21" t="s">
        <v>11</v>
      </c>
      <c r="D55" s="18" t="s">
        <v>15</v>
      </c>
      <c r="E55" s="18" t="s">
        <v>412</v>
      </c>
      <c r="F55" s="18" t="s">
        <v>413</v>
      </c>
      <c r="G55" s="18" t="s">
        <v>414</v>
      </c>
      <c r="H55" s="18" t="s">
        <v>415</v>
      </c>
      <c r="I55" s="18" t="s">
        <v>416</v>
      </c>
      <c r="J55" s="19" t="s">
        <v>23</v>
      </c>
      <c r="K55" s="18" t="s">
        <v>417</v>
      </c>
      <c r="L55" s="16" t="s">
        <v>5</v>
      </c>
      <c r="M55" s="18"/>
    </row>
    <row r="56" customFormat="false" ht="33.55" hidden="false" customHeight="false" outlineLevel="0" collapsed="false">
      <c r="A56" s="16" t="s">
        <v>418</v>
      </c>
      <c r="B56" s="16" t="n">
        <v>1</v>
      </c>
      <c r="C56" s="21" t="s">
        <v>11</v>
      </c>
      <c r="D56" s="18" t="s">
        <v>18</v>
      </c>
      <c r="E56" s="18" t="s">
        <v>419</v>
      </c>
      <c r="F56" s="18" t="s">
        <v>420</v>
      </c>
      <c r="G56" s="18" t="s">
        <v>421</v>
      </c>
      <c r="H56" s="18" t="s">
        <v>422</v>
      </c>
      <c r="I56" s="18" t="s">
        <v>423</v>
      </c>
      <c r="J56" s="19" t="s">
        <v>21</v>
      </c>
      <c r="K56" s="18" t="s">
        <v>424</v>
      </c>
      <c r="L56" s="16" t="s">
        <v>5</v>
      </c>
      <c r="M56" s="18"/>
    </row>
    <row r="57" customFormat="false" ht="33.55" hidden="false" customHeight="false" outlineLevel="0" collapsed="false">
      <c r="A57" s="16" t="s">
        <v>425</v>
      </c>
      <c r="B57" s="16" t="n">
        <v>1</v>
      </c>
      <c r="C57" s="21" t="s">
        <v>11</v>
      </c>
      <c r="D57" s="18" t="s">
        <v>16</v>
      </c>
      <c r="E57" s="18" t="s">
        <v>426</v>
      </c>
      <c r="F57" s="18" t="s">
        <v>427</v>
      </c>
      <c r="G57" s="18" t="s">
        <v>428</v>
      </c>
      <c r="H57" s="18" t="s">
        <v>429</v>
      </c>
      <c r="I57" s="18" t="s">
        <v>430</v>
      </c>
      <c r="J57" s="19" t="s">
        <v>21</v>
      </c>
      <c r="K57" s="18" t="s">
        <v>431</v>
      </c>
      <c r="L57" s="16" t="s">
        <v>5</v>
      </c>
      <c r="M57" s="18"/>
    </row>
    <row r="58" customFormat="false" ht="30.55" hidden="false" customHeight="false" outlineLevel="0" collapsed="false">
      <c r="A58" s="16" t="s">
        <v>432</v>
      </c>
      <c r="B58" s="16" t="n">
        <v>1</v>
      </c>
      <c r="C58" s="21" t="s">
        <v>11</v>
      </c>
      <c r="D58" s="18" t="s">
        <v>14</v>
      </c>
      <c r="E58" s="18" t="s">
        <v>433</v>
      </c>
      <c r="F58" s="18" t="s">
        <v>434</v>
      </c>
      <c r="G58" s="18" t="s">
        <v>435</v>
      </c>
      <c r="H58" s="18" t="s">
        <v>436</v>
      </c>
      <c r="I58" s="18" t="s">
        <v>437</v>
      </c>
      <c r="J58" s="19" t="s">
        <v>22</v>
      </c>
      <c r="K58" s="18" t="s">
        <v>438</v>
      </c>
      <c r="L58" s="16" t="s">
        <v>5</v>
      </c>
      <c r="M58" s="18"/>
    </row>
    <row r="59" customFormat="false" ht="30.55" hidden="false" customHeight="false" outlineLevel="0" collapsed="false">
      <c r="A59" s="16" t="s">
        <v>439</v>
      </c>
      <c r="B59" s="16" t="n">
        <v>1</v>
      </c>
      <c r="C59" s="21" t="s">
        <v>11</v>
      </c>
      <c r="D59" s="18" t="s">
        <v>17</v>
      </c>
      <c r="E59" s="18" t="s">
        <v>440</v>
      </c>
      <c r="F59" s="18" t="s">
        <v>441</v>
      </c>
      <c r="G59" s="18" t="s">
        <v>442</v>
      </c>
      <c r="H59" s="18" t="s">
        <v>443</v>
      </c>
      <c r="I59" s="18" t="s">
        <v>444</v>
      </c>
      <c r="J59" s="19" t="s">
        <v>23</v>
      </c>
      <c r="K59" s="18" t="s">
        <v>445</v>
      </c>
      <c r="L59" s="16" t="s">
        <v>5</v>
      </c>
      <c r="M59" s="18"/>
    </row>
    <row r="60" customFormat="false" ht="30.55" hidden="false" customHeight="false" outlineLevel="0" collapsed="false">
      <c r="A60" s="16" t="s">
        <v>446</v>
      </c>
      <c r="B60" s="16" t="n">
        <v>1</v>
      </c>
      <c r="C60" s="21" t="s">
        <v>11</v>
      </c>
      <c r="D60" s="18" t="s">
        <v>15</v>
      </c>
      <c r="E60" s="18" t="s">
        <v>447</v>
      </c>
      <c r="F60" s="18" t="s">
        <v>448</v>
      </c>
      <c r="G60" s="18" t="s">
        <v>449</v>
      </c>
      <c r="H60" s="18" t="s">
        <v>450</v>
      </c>
      <c r="I60" s="18" t="s">
        <v>451</v>
      </c>
      <c r="J60" s="19" t="s">
        <v>23</v>
      </c>
      <c r="K60" s="18" t="s">
        <v>452</v>
      </c>
      <c r="L60" s="16" t="s">
        <v>5</v>
      </c>
      <c r="M60" s="18"/>
    </row>
    <row r="61" customFormat="false" ht="23.85" hidden="false" customHeight="false" outlineLevel="0" collapsed="false">
      <c r="A61" s="16" t="s">
        <v>453</v>
      </c>
      <c r="B61" s="16" t="n">
        <v>1</v>
      </c>
      <c r="C61" s="21" t="s">
        <v>11</v>
      </c>
      <c r="D61" s="18" t="s">
        <v>18</v>
      </c>
      <c r="E61" s="18" t="s">
        <v>454</v>
      </c>
      <c r="F61" s="18" t="s">
        <v>455</v>
      </c>
      <c r="G61" s="18" t="s">
        <v>456</v>
      </c>
      <c r="H61" s="18" t="s">
        <v>457</v>
      </c>
      <c r="I61" s="18" t="s">
        <v>458</v>
      </c>
      <c r="J61" s="19" t="s">
        <v>20</v>
      </c>
      <c r="K61" s="18" t="s">
        <v>459</v>
      </c>
      <c r="L61" s="16" t="s">
        <v>5</v>
      </c>
      <c r="M61" s="18"/>
    </row>
  </sheetData>
  <autoFilter ref="A1:M61"/>
  <conditionalFormatting sqref="L2:L61">
    <cfRule type="expression" priority="2" aboveAverage="0" equalAverage="0" bottom="0" percent="0" rank="0" text="" dxfId="7">
      <formula>$L2="ผ่าน"</formula>
    </cfRule>
    <cfRule type="expression" priority="3" aboveAverage="0" equalAverage="0" bottom="0" percent="0" rank="0" text="" dxfId="8">
      <formula>$L2="ต้องแก้"</formula>
    </cfRule>
    <cfRule type="expression" priority="4" aboveAverage="0" equalAverage="0" bottom="0" percent="0" rank="0" text="" dxfId="9">
      <formula>$L2="ตัดทิ้ง"</formula>
    </cfRule>
  </conditionalFormatting>
  <dataValidations count="2">
    <dataValidation allowBlank="false" error="เลือกจาก: รอตรวจ / ผ่าน / ต้องแก้ / ตัดทิ้ง" errorStyle="stop" operator="between" showDropDown="false" showErrorMessage="false" showInputMessage="false" sqref="L2:L61" type="list">
      <formula1>"รอตรวจ,ผ่าน,ต้องแก้,ตัดทิ้ง"</formula1>
      <formula2>0</formula2>
    </dataValidation>
    <dataValidation allowBlank="false" errorStyle="stop" operator="between" showDropDown="false" showErrorMessage="false" showInputMessage="false" sqref="J2:J61" type="list">
      <formula1>"ก,ข,ค,ง"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2026-09-23T11:46:58Z</dcterms:created>
  <dc:creator>openpyxl</dc:creator>
  <dc:description/>
  <dc:language>en-US</dc:language>
  <cp:lastModifiedBy/>
  <dcterms:modified xsi:type="dcterms:W3CDTF">2026-09-23T11:46:58Z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